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EXPANSIONES" sheetId="1" r:id="rId5"/>
    <sheet state="visible" name="RESUMEN" sheetId="2" r:id="rId6"/>
    <sheet state="visible" name="Nico Robin (OP09-062)" sheetId="3" r:id="rId7"/>
    <sheet state="visible" name="Enel (OP05-098)" sheetId="4" r:id="rId8"/>
    <sheet state="visible" name="Yamato (OP06-022)" sheetId="5" r:id="rId9"/>
    <sheet state="visible" name="Boa Hancock (OP14-041)" sheetId="6" r:id="rId10"/>
    <sheet state="visible" name="Sabo (ST13-001)" sheetId="7" r:id="rId11"/>
    <sheet state="visible" name="Monkey D. Luffy (ST29-001)" sheetId="8" r:id="rId12"/>
    <sheet state="visible" name="Donquixote Rosinante (OP12-061)" sheetId="9" r:id="rId13"/>
    <sheet state="visible" name="Gecko Moria (OP14-080)" sheetId="10" r:id="rId14"/>
    <sheet state="hidden" name="RAW_MATCHES" sheetId="11" r:id="rId15"/>
  </sheets>
  <definedNames/>
  <calcPr/>
</workbook>
</file>

<file path=xl/sharedStrings.xml><?xml version="1.0" encoding="utf-8"?>
<sst xmlns="http://schemas.openxmlformats.org/spreadsheetml/2006/main" count="549" uniqueCount="155">
  <si>
    <t>Nombre</t>
  </si>
  <si>
    <t>Inicio</t>
  </si>
  <si>
    <t>Fin</t>
  </si>
  <si>
    <t>OP14</t>
  </si>
  <si>
    <t>OP14 + EB03</t>
  </si>
  <si>
    <t>OP15</t>
  </si>
  <si>
    <t>Image</t>
  </si>
  <si>
    <t>Leader</t>
  </si>
  <si>
    <t>Partidas</t>
  </si>
  <si>
    <t>Victorias</t>
  </si>
  <si>
    <t>Derrotas</t>
  </si>
  <si>
    <t>WR</t>
  </si>
  <si>
    <t>Fav</t>
  </si>
  <si>
    <t>Desf</t>
  </si>
  <si>
    <t>EXPANSIÓN</t>
  </si>
  <si>
    <t>Monkey D. Luffy</t>
  </si>
  <si>
    <t>Gecko Moria</t>
  </si>
  <si>
    <r>
      <rPr>
        <rFont val="Arial"/>
        <color theme="1"/>
        <sz val="13.0"/>
      </rPr>
      <t xml:space="preserve">Más </t>
    </r>
    <r>
      <rPr>
        <rFont val="Arial"/>
        <b/>
        <color theme="1"/>
        <sz val="13.0"/>
      </rPr>
      <t xml:space="preserve">victorias </t>
    </r>
    <r>
      <rPr>
        <rFont val="Arial"/>
        <color theme="1"/>
        <sz val="13.0"/>
      </rPr>
      <t>contra</t>
    </r>
  </si>
  <si>
    <r>
      <rPr>
        <rFont val="Arial"/>
        <color theme="1"/>
        <sz val="13.0"/>
      </rPr>
      <t xml:space="preserve">Más </t>
    </r>
    <r>
      <rPr>
        <rFont val="Arial"/>
        <b/>
        <color theme="1"/>
        <sz val="13.0"/>
      </rPr>
      <t xml:space="preserve">derrotas </t>
    </r>
    <r>
      <rPr>
        <rFont val="Arial"/>
        <color theme="1"/>
        <sz val="13.0"/>
      </rPr>
      <t>contra</t>
    </r>
  </si>
  <si>
    <t>Donquixote Rosinante</t>
  </si>
  <si>
    <t>-</t>
  </si>
  <si>
    <r>
      <rPr>
        <rFont val="Arial"/>
        <color rgb="FFB6D7A8"/>
      </rPr>
      <t>VICTORIAS:</t>
    </r>
    <r>
      <rPr>
        <rFont val="Arial"/>
        <color theme="1"/>
      </rPr>
      <t xml:space="preserve"> 5
PARTIDAS: 8</t>
    </r>
  </si>
  <si>
    <r>
      <rPr>
        <rFont val="Arial"/>
        <color rgb="FFEA9999"/>
      </rPr>
      <t>DERROTAS:</t>
    </r>
    <r>
      <rPr>
        <rFont val="Arial"/>
        <color theme="1"/>
      </rPr>
      <t xml:space="preserve"> 4
PARTIDAS: 7</t>
    </r>
  </si>
  <si>
    <t>Sabo</t>
  </si>
  <si>
    <r>
      <rPr>
        <rFont val="Arial"/>
        <color rgb="FFB6D7A8"/>
      </rPr>
      <t>VICTORIAS:</t>
    </r>
    <r>
      <rPr>
        <rFont val="Arial"/>
        <color theme="1"/>
      </rPr>
      <t xml:space="preserve"> 3
PARTIDAS: 7</t>
    </r>
  </si>
  <si>
    <r>
      <rPr>
        <rFont val="Arial"/>
        <color rgb="FFEA9999"/>
      </rPr>
      <t>DERROTAS:</t>
    </r>
    <r>
      <rPr>
        <rFont val="Arial"/>
        <color theme="1"/>
      </rPr>
      <t xml:space="preserve"> 3
PARTIDAS: 8</t>
    </r>
  </si>
  <si>
    <t>Boa Hancock</t>
  </si>
  <si>
    <r>
      <rPr>
        <rFont val="Arial"/>
        <color rgb="FFB6D7A8"/>
      </rPr>
      <t>VICTORIAS:</t>
    </r>
    <r>
      <rPr>
        <rFont val="Arial"/>
        <color theme="1"/>
      </rPr>
      <t xml:space="preserve"> 3
PARTIDAS: 3</t>
    </r>
  </si>
  <si>
    <r>
      <rPr>
        <rFont val="Arial"/>
        <color rgb="FFEA9999"/>
      </rPr>
      <t>DERROTAS:</t>
    </r>
    <r>
      <rPr>
        <rFont val="Arial"/>
        <color theme="1"/>
      </rPr>
      <t xml:space="preserve"> 3
PARTIDAS: 4</t>
    </r>
  </si>
  <si>
    <t>Yamato</t>
  </si>
  <si>
    <r>
      <rPr>
        <rFont val="Arial"/>
        <color rgb="FFB6D7A8"/>
      </rPr>
      <t>VICTORIAS:</t>
    </r>
    <r>
      <rPr>
        <rFont val="Arial"/>
        <color theme="1"/>
      </rPr>
      <t xml:space="preserve"> 3
PARTIDAS: 6</t>
    </r>
  </si>
  <si>
    <r>
      <rPr>
        <rFont val="Arial"/>
        <color rgb="FFEA9999"/>
      </rPr>
      <t>DERROTAS:</t>
    </r>
    <r>
      <rPr>
        <rFont val="Arial"/>
        <color theme="1"/>
      </rPr>
      <t xml:space="preserve"> 3
PARTIDAS: 6</t>
    </r>
  </si>
  <si>
    <t>Enel</t>
  </si>
  <si>
    <t>Nico Robin</t>
  </si>
  <si>
    <t>Rival</t>
  </si>
  <si>
    <t>1st</t>
  </si>
  <si>
    <t>2nd</t>
  </si>
  <si>
    <t>OP06-022</t>
  </si>
  <si>
    <t>OP11-041</t>
  </si>
  <si>
    <t>OP11-001</t>
  </si>
  <si>
    <t>OP14-079</t>
  </si>
  <si>
    <t>OP09-022</t>
  </si>
  <si>
    <t>OP07-059</t>
  </si>
  <si>
    <t>OP12-041</t>
  </si>
  <si>
    <t>OP13-100</t>
  </si>
  <si>
    <t>ST29-001</t>
  </si>
  <si>
    <t>OP09-061</t>
  </si>
  <si>
    <t>OP14-020</t>
  </si>
  <si>
    <t>ST10-003</t>
  </si>
  <si>
    <t>OP14-041</t>
  </si>
  <si>
    <t>OP07-019</t>
  </si>
  <si>
    <t>OP14-080</t>
  </si>
  <si>
    <t>OP13-079</t>
  </si>
  <si>
    <t>OP12-040</t>
  </si>
  <si>
    <t>EB02-010</t>
  </si>
  <si>
    <t>OP13-001</t>
  </si>
  <si>
    <t>OP13-004</t>
  </si>
  <si>
    <t>OP13-002</t>
  </si>
  <si>
    <t>EB03-001</t>
  </si>
  <si>
    <t>OP14-060</t>
  </si>
  <si>
    <t>OP08-021</t>
  </si>
  <si>
    <t>OP11-040</t>
  </si>
  <si>
    <t>OP13-003</t>
  </si>
  <si>
    <t>PRB01-001</t>
  </si>
  <si>
    <t>OP10-099</t>
  </si>
  <si>
    <t>Date</t>
  </si>
  <si>
    <t>LeaderName</t>
  </si>
  <si>
    <t>OppLeader</t>
  </si>
  <si>
    <t>OppLeaderName</t>
  </si>
  <si>
    <t>Win</t>
  </si>
  <si>
    <t>First</t>
  </si>
  <si>
    <t>Thu, 19 Feb 2026 17:05:57 GMT</t>
  </si>
  <si>
    <t>Lim</t>
  </si>
  <si>
    <t>Wed, 18 Feb 2026 22:54:29 GMT</t>
  </si>
  <si>
    <t>ST13-001</t>
  </si>
  <si>
    <t>Jewelry Bonney</t>
  </si>
  <si>
    <t>Wed, 18 Feb 2026 22:46:48 GMT</t>
  </si>
  <si>
    <t>Wed, 18 Feb 2026 22:40:55 GMT</t>
  </si>
  <si>
    <t>Nami</t>
  </si>
  <si>
    <t>Wed, 18 Feb 2026 22:17:07 GMT</t>
  </si>
  <si>
    <t>Monkey.D.Luffy</t>
  </si>
  <si>
    <t>Tue, 17 Feb 2026 23:09:23 GMT</t>
  </si>
  <si>
    <t>Tue, 17 Feb 2026 22:58:56 GMT</t>
  </si>
  <si>
    <t>Tue, 17 Feb 2026 22:49:27 GMT</t>
  </si>
  <si>
    <t>Sun, 15 Feb 2026 00:57:12 GMT</t>
  </si>
  <si>
    <t>OP12-061</t>
  </si>
  <si>
    <t>Sun, 15 Feb 2026 00:20:48 GMT</t>
  </si>
  <si>
    <t>Sat, 14 Feb 2026 23:49:13 GMT</t>
  </si>
  <si>
    <t>Sat, 14 Feb 2026 23:33:13 GMT</t>
  </si>
  <si>
    <t>Sat, 14 Feb 2026 12:25:06 GMT</t>
  </si>
  <si>
    <t>Sanji</t>
  </si>
  <si>
    <t>Sat, 14 Feb 2026 12:02:02 GMT</t>
  </si>
  <si>
    <t>Kuzan</t>
  </si>
  <si>
    <t>Sat, 14 Feb 2026 11:47:39 GMT</t>
  </si>
  <si>
    <t>Portgas.D.Ace</t>
  </si>
  <si>
    <t>Fri, 13 Feb 2026 23:46:28 GMT</t>
  </si>
  <si>
    <t>Foxy</t>
  </si>
  <si>
    <t>Fri, 13 Feb 2026 23:10:51 GMT</t>
  </si>
  <si>
    <t>Fri, 13 Feb 2026 13:15:38 GMT</t>
  </si>
  <si>
    <t>Sun, 08 Feb 2026 00:09:30 GMT</t>
  </si>
  <si>
    <t>Thu, 05 Feb 2026 21:50:00 GMT</t>
  </si>
  <si>
    <t>Crocodile</t>
  </si>
  <si>
    <t>Tue, 03 Feb 2026 22:57:40 GMT</t>
  </si>
  <si>
    <t>Donquixote Doflamingo</t>
  </si>
  <si>
    <t>Tue, 03 Feb 2026 22:41:42 GMT</t>
  </si>
  <si>
    <t>Carrot</t>
  </si>
  <si>
    <t>Tue, 03 Feb 2026 22:29:52 GMT</t>
  </si>
  <si>
    <t>Tue, 03 Feb 2026 22:24:34 GMT</t>
  </si>
  <si>
    <t>Imu</t>
  </si>
  <si>
    <t>Tue, 03 Feb 2026 22:15:59 GMT</t>
  </si>
  <si>
    <t>Tue, 03 Feb 2026 22:07:11 GMT</t>
  </si>
  <si>
    <t>Mon, 02 Feb 2026 23:04:45 GMT</t>
  </si>
  <si>
    <t>Mon, 02 Feb 2026 22:46:15 GMT</t>
  </si>
  <si>
    <t>Sun, 01 Feb 2026 23:07:58 GMT</t>
  </si>
  <si>
    <t>Sun, 01 Feb 2026 23:01:55 GMT</t>
  </si>
  <si>
    <t>Sun, 01 Feb 2026 22:42:09 GMT</t>
  </si>
  <si>
    <t>Sun, 01 Feb 2026 21:16:14 GMT</t>
  </si>
  <si>
    <t>Gol.D.Roger</t>
  </si>
  <si>
    <t>Sun, 01 Feb 2026 21:07:54 GMT</t>
  </si>
  <si>
    <t>Koby</t>
  </si>
  <si>
    <t>Sat, 31 Jan 2026 23:36:55 GMT</t>
  </si>
  <si>
    <t>Sat, 31 Jan 2026 23:25:58 GMT</t>
  </si>
  <si>
    <t>Sat, 31 Jan 2026 22:42:19 GMT</t>
  </si>
  <si>
    <t>Thu, 29 Jan 2026 18:27:20 GMT</t>
  </si>
  <si>
    <t>Eustass"Captain"Kid</t>
  </si>
  <si>
    <t>Thu, 29 Jan 2026 18:22:00 GMT</t>
  </si>
  <si>
    <t>Thu, 29 Jan 2026 18:15:08 GMT</t>
  </si>
  <si>
    <t>Thu, 29 Jan 2026 18:05:59 GMT</t>
  </si>
  <si>
    <t>Thu, 29 Jan 2026 17:58:34 GMT</t>
  </si>
  <si>
    <t>Thu, 29 Jan 2026 17:52:48 GMT</t>
  </si>
  <si>
    <t>Thu, 29 Jan 2026 17:48:55 GMT</t>
  </si>
  <si>
    <t>Tue, 27 Jan 2026 20:06:57 GMT</t>
  </si>
  <si>
    <t>Sun, 25 Jan 2026 21:36:57 GMT</t>
  </si>
  <si>
    <t>Dracule Mihawk</t>
  </si>
  <si>
    <t>Sun, 25 Jan 2026 21:25:41 GMT</t>
  </si>
  <si>
    <t>Fri, 23 Jan 2026 23:15:09 GMT</t>
  </si>
  <si>
    <t>Thu, 22 Jan 2026 22:49:54 GMT</t>
  </si>
  <si>
    <t>Thu, 22 Jan 2026 21:44:22 GMT</t>
  </si>
  <si>
    <t>Thu, 22 Jan 2026 21:37:26 GMT</t>
  </si>
  <si>
    <t>Thu, 22 Jan 2026 18:22:44 GMT</t>
  </si>
  <si>
    <t>Thu, 22 Jan 2026 18:14:40 GMT</t>
  </si>
  <si>
    <t>Thu, 22 Jan 2026 17:38:51 GMT</t>
  </si>
  <si>
    <t>Thu, 22 Jan 2026 17:29:27 GMT</t>
  </si>
  <si>
    <t>Thu, 22 Jan 2026 17:18:40 GMT</t>
  </si>
  <si>
    <t>Wed, 21 Jan 2026 09:26:56 GMT</t>
  </si>
  <si>
    <t>Wed, 21 Jan 2026 08:56:48 GMT</t>
  </si>
  <si>
    <t>Fri, 20 Feb 2026 20:49:31 GMT</t>
  </si>
  <si>
    <t>Sat, 21 Feb 2026 23:19:22 GMT</t>
  </si>
  <si>
    <t>Sun, 22 Feb 2026 19:13:37 GMT</t>
  </si>
  <si>
    <t>Nefeltari Vivi</t>
  </si>
  <si>
    <t>Sun, 22 Feb 2026 13:02:28 GMT</t>
  </si>
  <si>
    <t>OP05-098</t>
  </si>
  <si>
    <t>Sun, 22 Feb 2026 12:52:25 GMT</t>
  </si>
  <si>
    <t>Wed, 25 Feb 2026 22:40:06 GMT</t>
  </si>
  <si>
    <t>OP09-062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</si>
</sst>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sz val="13.0"/>
      <color theme="1"/>
      <name val="Arial"/>
      <scheme val="minor"/>
    </font>
    <font>
      <sz val="12.0"/>
      <color theme="1"/>
      <name val="Arial"/>
      <scheme val="minor"/>
    </font>
    <font>
      <sz val="13.0"/>
      <color theme="1"/>
      <name val="Arial"/>
      <scheme val="minor"/>
    </font>
    <font/>
  </fonts>
  <fills count="6">
    <fill>
      <patternFill patternType="none"/>
    </fill>
    <fill>
      <patternFill patternType="lightGray"/>
    </fill>
    <fill>
      <patternFill patternType="solid">
        <fgColor rgb="FFF0F0F0"/>
        <bgColor rgb="FFF0F0F0"/>
      </patternFill>
    </fill>
    <fill>
      <patternFill patternType="solid">
        <fgColor rgb="FFE8E8E8"/>
        <bgColor rgb="FFE8E8E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B6D7A8"/>
      </left>
      <top style="thick">
        <color rgb="FFB6D7A8"/>
      </top>
    </border>
    <border>
      <right style="thick">
        <color rgb="FFB6D7A8"/>
      </right>
      <top style="thick">
        <color rgb="FFB6D7A8"/>
      </top>
    </border>
    <border>
      <left style="thick">
        <color rgb="FFEA9999"/>
      </left>
      <top style="thick">
        <color rgb="FFEA9999"/>
      </top>
    </border>
    <border>
      <right style="thick">
        <color rgb="FFEA9999"/>
      </right>
      <top style="thick">
        <color rgb="FFEA9999"/>
      </top>
    </border>
    <border>
      <left style="thick">
        <color rgb="FFB6D7A8"/>
      </left>
      <bottom style="medium">
        <color rgb="FFB6D7A8"/>
      </bottom>
    </border>
    <border>
      <right style="thick">
        <color rgb="FFB6D7A8"/>
      </right>
      <bottom style="medium">
        <color rgb="FFB6D7A8"/>
      </bottom>
    </border>
    <border>
      <left style="thick">
        <color rgb="FFEA9999"/>
      </left>
      <bottom style="medium">
        <color rgb="FFEA9999"/>
      </bottom>
    </border>
    <border>
      <right style="thick">
        <color rgb="FFEA9999"/>
      </right>
      <bottom style="medium">
        <color rgb="FFEA9999"/>
      </bottom>
    </border>
    <border>
      <left style="thick">
        <color rgb="FFB6D7A8"/>
      </left>
      <top style="medium">
        <color rgb="FFB6D7A8"/>
      </top>
      <bottom style="medium">
        <color rgb="FFB6D7A8"/>
      </bottom>
    </border>
    <border>
      <right style="thick">
        <color rgb="FFB6D7A8"/>
      </right>
      <top style="medium">
        <color rgb="FFB6D7A8"/>
      </top>
      <bottom style="medium">
        <color rgb="FFB6D7A8"/>
      </bottom>
    </border>
    <border>
      <left style="thick">
        <color rgb="FFEA9999"/>
      </left>
      <top style="medium">
        <color rgb="FFEA9999"/>
      </top>
      <bottom style="medium">
        <color rgb="FFEA9999"/>
      </bottom>
    </border>
    <border>
      <right style="thick">
        <color rgb="FFEA9999"/>
      </right>
      <top style="medium">
        <color rgb="FFEA9999"/>
      </top>
      <bottom style="medium">
        <color rgb="FFEA9999"/>
      </bottom>
    </border>
    <border>
      <left style="thick">
        <color rgb="FFB6D7A8"/>
      </left>
      <top style="medium">
        <color rgb="FFB6D7A8"/>
      </top>
      <bottom style="thick">
        <color rgb="FFB6D7A8"/>
      </bottom>
    </border>
    <border>
      <right style="thick">
        <color rgb="FFB6D7A8"/>
      </right>
      <top style="medium">
        <color rgb="FFB6D7A8"/>
      </top>
      <bottom style="thick">
        <color rgb="FFB6D7A8"/>
      </bottom>
    </border>
    <border>
      <left style="thick">
        <color rgb="FFEA9999"/>
      </left>
      <top style="medium">
        <color rgb="FFEA9999"/>
      </top>
      <bottom style="thick">
        <color rgb="FFEA9999"/>
      </bottom>
    </border>
    <border>
      <right style="thick">
        <color rgb="FFEA9999"/>
      </right>
      <top style="medium">
        <color rgb="FFEA9999"/>
      </top>
      <bottom style="thick">
        <color rgb="FFEA9999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2" fontId="2" numFmtId="0" xfId="0" applyAlignment="1" applyBorder="1" applyFill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1" fillId="3" fontId="3" numFmtId="0" xfId="0" applyAlignment="1" applyBorder="1" applyFont="1">
      <alignment horizontal="center" readingOrder="0" vertical="center"/>
    </xf>
    <xf borderId="1" fillId="3" fontId="3" numFmtId="1" xfId="0" applyAlignment="1" applyBorder="1" applyFont="1" applyNumberFormat="1">
      <alignment horizontal="center" readingOrder="0" vertical="center"/>
    </xf>
    <xf borderId="1" fillId="3" fontId="3" numFmtId="9" xfId="0" applyAlignment="1" applyBorder="1" applyFont="1" applyNumberFormat="1">
      <alignment horizontal="center" readingOrder="0" vertical="center"/>
    </xf>
    <xf borderId="1" fillId="3" fontId="3" numFmtId="1" xfId="0" applyAlignment="1" applyBorder="1" applyFont="1" applyNumberFormat="1">
      <alignment horizontal="center" vertical="center"/>
    </xf>
    <xf borderId="0" fillId="0" fontId="1" numFmtId="0" xfId="0" applyFont="1"/>
    <xf borderId="1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vertical="center"/>
    </xf>
    <xf borderId="2" fillId="4" fontId="4" numFmtId="0" xfId="0" applyAlignment="1" applyBorder="1" applyFill="1" applyFont="1">
      <alignment horizontal="center" readingOrder="0" vertical="center"/>
    </xf>
    <xf borderId="3" fillId="0" fontId="5" numFmtId="0" xfId="0" applyBorder="1" applyFont="1"/>
    <xf borderId="4" fillId="5" fontId="4" numFmtId="0" xfId="0" applyAlignment="1" applyBorder="1" applyFill="1" applyFont="1">
      <alignment horizontal="center" readingOrder="0" vertical="center"/>
    </xf>
    <xf borderId="5" fillId="0" fontId="5" numFmtId="0" xfId="0" applyBorder="1" applyFont="1"/>
    <xf borderId="6" fillId="3" fontId="1" numFmtId="0" xfId="0" applyBorder="1" applyFont="1"/>
    <xf borderId="7" fillId="3" fontId="1" numFmtId="0" xfId="0" applyAlignment="1" applyBorder="1" applyFont="1">
      <alignment horizontal="center" readingOrder="0" vertical="center"/>
    </xf>
    <xf borderId="8" fillId="3" fontId="1" numFmtId="0" xfId="0" applyBorder="1" applyFont="1"/>
    <xf borderId="9" fillId="3" fontId="1" numFmtId="0" xfId="0" applyAlignment="1" applyBorder="1" applyFont="1">
      <alignment horizontal="center" readingOrder="0" vertical="center"/>
    </xf>
    <xf borderId="10" fillId="0" fontId="1" numFmtId="0" xfId="0" applyBorder="1" applyFont="1"/>
    <xf borderId="11" fillId="0" fontId="1" numFmtId="0" xfId="0" applyAlignment="1" applyBorder="1" applyFont="1">
      <alignment horizontal="center" readingOrder="0" vertical="center"/>
    </xf>
    <xf borderId="12" fillId="0" fontId="1" numFmtId="0" xfId="0" applyBorder="1" applyFont="1"/>
    <xf borderId="13" fillId="0" fontId="1" numFmtId="0" xfId="0" applyAlignment="1" applyBorder="1" applyFont="1">
      <alignment horizontal="center" readingOrder="0" vertical="center"/>
    </xf>
    <xf borderId="10" fillId="3" fontId="1" numFmtId="0" xfId="0" applyBorder="1" applyFont="1"/>
    <xf borderId="11" fillId="3" fontId="1" numFmtId="0" xfId="0" applyAlignment="1" applyBorder="1" applyFont="1">
      <alignment horizontal="center" readingOrder="0" vertical="center"/>
    </xf>
    <xf borderId="12" fillId="3" fontId="1" numFmtId="0" xfId="0" applyBorder="1" applyFont="1"/>
    <xf borderId="13" fillId="3" fontId="1" numFmtId="0" xfId="0" applyAlignment="1" applyBorder="1" applyFont="1">
      <alignment horizontal="center" readingOrder="0" vertical="center"/>
    </xf>
    <xf borderId="14" fillId="0" fontId="1" numFmtId="0" xfId="0" applyBorder="1" applyFont="1"/>
    <xf borderId="15" fillId="0" fontId="1" numFmtId="0" xfId="0" applyAlignment="1" applyBorder="1" applyFont="1">
      <alignment horizontal="center" readingOrder="0" vertical="center"/>
    </xf>
    <xf borderId="16" fillId="0" fontId="1" numFmtId="0" xfId="0" applyBorder="1" applyFont="1"/>
    <xf borderId="17" fillId="0" fontId="1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>
        <color rgb="FFFFFFFF"/>
      </font>
      <fill>
        <patternFill patternType="solid">
          <fgColor rgb="FFC0392B"/>
          <bgColor rgb="FFC0392B"/>
        </patternFill>
      </fill>
      <border/>
    </dxf>
    <dxf>
      <font>
        <color rgb="FF000000"/>
      </font>
      <fill>
        <patternFill patternType="solid">
          <fgColor rgb="FFF1948A"/>
          <bgColor rgb="FFF1948A"/>
        </patternFill>
      </fill>
      <border/>
    </dxf>
    <dxf>
      <font>
        <color rgb="FF000000"/>
      </font>
      <fill>
        <patternFill patternType="solid">
          <fgColor rgb="FFA9DFBF"/>
          <bgColor rgb="FFA9DFBF"/>
        </patternFill>
      </fill>
      <border/>
    </dxf>
    <dxf>
      <font>
        <color rgb="FFFFFFFF"/>
      </font>
      <fill>
        <patternFill patternType="solid">
          <fgColor rgb="FF27AE60"/>
          <bgColor rgb="FF27AE60"/>
        </patternFill>
      </fill>
      <border/>
    </dxf>
    <dxf>
      <font>
        <color rgb="FF555555"/>
      </font>
      <fill>
        <patternFill patternType="solid">
          <fgColor rgb="FF888888"/>
          <bgColor rgb="FF88888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</row>
    <row r="2">
      <c r="A2" s="1" t="s">
        <v>3</v>
      </c>
      <c r="B2" s="2">
        <v>46029.0</v>
      </c>
      <c r="C2" s="2">
        <v>46072.0</v>
      </c>
    </row>
    <row r="3">
      <c r="A3" s="1" t="s">
        <v>4</v>
      </c>
      <c r="B3" s="2">
        <v>46073.0</v>
      </c>
      <c r="C3" s="2">
        <v>46112.0</v>
      </c>
    </row>
    <row r="4">
      <c r="A4" s="1" t="s">
        <v>5</v>
      </c>
      <c r="B4" s="2">
        <v>46113.0</v>
      </c>
      <c r="C4" s="2">
        <v>46204.0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  <col customWidth="1" min="12" max="12" width="7.88"/>
    <col customWidth="1" min="13" max="13" width="13.88"/>
    <col customWidth="1" min="15" max="15" width="7.88"/>
    <col customWidth="1" min="16" max="16" width="13.88"/>
  </cols>
  <sheetData>
    <row r="1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11</v>
      </c>
      <c r="I1" s="3" t="s">
        <v>13</v>
      </c>
      <c r="J1" s="3" t="s">
        <v>11</v>
      </c>
      <c r="M1" s="4" t="s">
        <v>14</v>
      </c>
    </row>
    <row r="2" ht="60.0" customHeight="1">
      <c r="A2" s="5" t="str">
        <f>IMAGE("https://res.cloudinary.com/dlbhgbxbf/image/upload/v1767894619/ST29-001_jp.png",4,80,60)</f>
        <v/>
      </c>
      <c r="B2" s="6" t="s">
        <v>15</v>
      </c>
      <c r="C2" s="7">
        <v>24.0</v>
      </c>
      <c r="D2" s="7">
        <v>20.0</v>
      </c>
      <c r="E2" s="7">
        <v>4.0</v>
      </c>
      <c r="F2" s="8">
        <v>0.8333333333333334</v>
      </c>
      <c r="G2" s="9" t="str">
        <f>IMAGE("https://res.cloudinary.com/dlbhgbxbf/image/upload/v1767894619/OP14-020_jp.png",4,80,60)</f>
        <v/>
      </c>
      <c r="H2" s="8">
        <v>1.0</v>
      </c>
      <c r="I2" s="9" t="str">
        <f>IMAGE("https://res.cloudinary.com/dlbhgbxbf/image/upload/v1767894619/ST29-001_jp.png",4,80,60)</f>
        <v/>
      </c>
      <c r="J2" s="8">
        <v>0.6</v>
      </c>
      <c r="M2" s="10"/>
    </row>
    <row r="3" ht="60.0" customHeight="1">
      <c r="A3" s="11" t="str">
        <f>IMAGE("https://res.cloudinary.com/dlbhgbxbf/image/upload/v1767894619/OP14-080_jp.png",4,80,60)</f>
        <v/>
      </c>
      <c r="B3" s="12" t="s">
        <v>16</v>
      </c>
      <c r="C3" s="13">
        <v>17.0</v>
      </c>
      <c r="D3" s="13">
        <v>8.0</v>
      </c>
      <c r="E3" s="13">
        <v>9.0</v>
      </c>
      <c r="F3" s="14">
        <v>0.47058823529411764</v>
      </c>
      <c r="G3" s="15" t="str">
        <f>IMAGE("https://res.cloudinary.com/dlbhgbxbf/image/upload/v1767894619/OP14-041_jp.png",4,80,60)</f>
        <v/>
      </c>
      <c r="H3" s="14">
        <v>0.6666666666666666</v>
      </c>
      <c r="I3" s="15" t="str">
        <f>IMAGE("https://res.cloudinary.com/dlbhgbxbf/image/upload/v1767894619/OP14-041_jp.png",4,80,60)</f>
        <v/>
      </c>
      <c r="J3" s="14">
        <v>0.6666666666666666</v>
      </c>
      <c r="L3" s="16" t="s">
        <v>17</v>
      </c>
      <c r="M3" s="17"/>
      <c r="O3" s="18" t="s">
        <v>18</v>
      </c>
      <c r="P3" s="19"/>
    </row>
    <row r="4" ht="60.0" customHeight="1">
      <c r="A4" s="5" t="str">
        <f>IMAGE("https://res.cloudinary.com/dlbhgbxbf/image/upload/v1767894619/OP12-061_jp.png",4,80,60)</f>
        <v/>
      </c>
      <c r="B4" s="6" t="s">
        <v>19</v>
      </c>
      <c r="C4" s="7">
        <v>11.0</v>
      </c>
      <c r="D4" s="7">
        <v>10.0</v>
      </c>
      <c r="E4" s="7">
        <v>1.0</v>
      </c>
      <c r="F4" s="8">
        <v>0.9090909090909091</v>
      </c>
      <c r="G4" s="7" t="s">
        <v>20</v>
      </c>
      <c r="H4" s="8" t="s">
        <v>20</v>
      </c>
      <c r="I4" s="7" t="s">
        <v>20</v>
      </c>
      <c r="J4" s="8" t="s">
        <v>20</v>
      </c>
      <c r="L4" s="20" t="str">
        <f>IMAGE("https://res.cloudinary.com/dlbhgbxbf/image/upload/v1767894619/OP07-059_jp.png",4,80,60)</f>
        <v/>
      </c>
      <c r="M4" s="21" t="s">
        <v>21</v>
      </c>
      <c r="O4" s="22" t="str">
        <f>IMAGE("https://res.cloudinary.com/dlbhgbxbf/image/upload/v1767894619/ST29-001_jp.png",4,80,60)</f>
        <v/>
      </c>
      <c r="P4" s="23" t="s">
        <v>22</v>
      </c>
    </row>
    <row r="5" ht="60.0" customHeight="1">
      <c r="A5" s="11" t="str">
        <f>IMAGE("https://res.cloudinary.com/dlbhgbxbf/image/upload/v1767894619/ST13-001_jp.png",4,80,60)</f>
        <v/>
      </c>
      <c r="B5" s="12" t="s">
        <v>23</v>
      </c>
      <c r="C5" s="13">
        <v>4.0</v>
      </c>
      <c r="D5" s="13">
        <v>2.0</v>
      </c>
      <c r="E5" s="13">
        <v>2.0</v>
      </c>
      <c r="F5" s="14">
        <v>0.5</v>
      </c>
      <c r="G5" s="13" t="s">
        <v>20</v>
      </c>
      <c r="H5" s="14" t="s">
        <v>20</v>
      </c>
      <c r="I5" s="13" t="s">
        <v>20</v>
      </c>
      <c r="J5" s="14" t="s">
        <v>20</v>
      </c>
      <c r="L5" s="24" t="str">
        <f>IMAGE("https://res.cloudinary.com/dlbhgbxbf/image/upload/v1767894619/ST29-001_jp.png",4,80,60)</f>
        <v/>
      </c>
      <c r="M5" s="25" t="s">
        <v>24</v>
      </c>
      <c r="O5" s="26" t="str">
        <f>IMAGE("https://res.cloudinary.com/dlbhgbxbf/image/upload/v1767894619/OP07-059_jp.png",4,80,60)</f>
        <v/>
      </c>
      <c r="P5" s="27" t="s">
        <v>25</v>
      </c>
    </row>
    <row r="6" ht="60.0" customHeight="1">
      <c r="A6" s="5" t="str">
        <f>IMAGE("https://res.cloudinary.com/dlbhgbxbf/image/upload/v1767894619/OP14-041_jp.png",4,80,60)</f>
        <v/>
      </c>
      <c r="B6" s="6" t="s">
        <v>26</v>
      </c>
      <c r="C6" s="7">
        <v>3.0</v>
      </c>
      <c r="D6" s="7">
        <v>2.0</v>
      </c>
      <c r="E6" s="7">
        <v>1.0</v>
      </c>
      <c r="F6" s="8">
        <v>0.6666666666666666</v>
      </c>
      <c r="G6" s="7" t="s">
        <v>20</v>
      </c>
      <c r="H6" s="8" t="s">
        <v>20</v>
      </c>
      <c r="I6" s="7" t="s">
        <v>20</v>
      </c>
      <c r="J6" s="8" t="s">
        <v>20</v>
      </c>
      <c r="L6" s="28" t="str">
        <f>IMAGE("https://res.cloudinary.com/dlbhgbxbf/image/upload/v1767894619/OP14-020_jp.png",4,80,60)</f>
        <v/>
      </c>
      <c r="M6" s="29" t="s">
        <v>27</v>
      </c>
      <c r="O6" s="30" t="str">
        <f>IMAGE("https://res.cloudinary.com/dlbhgbxbf/image/upload/v1767894619/OP14-079_jp.png",4,80,60)</f>
        <v/>
      </c>
      <c r="P6" s="31" t="s">
        <v>28</v>
      </c>
    </row>
    <row r="7" ht="60.0" customHeight="1">
      <c r="A7" s="11" t="str">
        <f>IMAGE("https://res.cloudinary.com/dlbhgbxbf/image/upload/v1767894619/OP06-022_jp.png",4,80,60)</f>
        <v/>
      </c>
      <c r="B7" s="12" t="s">
        <v>29</v>
      </c>
      <c r="C7" s="13">
        <v>2.0</v>
      </c>
      <c r="D7" s="13">
        <v>1.0</v>
      </c>
      <c r="E7" s="13">
        <v>1.0</v>
      </c>
      <c r="F7" s="14">
        <v>0.5</v>
      </c>
      <c r="G7" s="13" t="s">
        <v>20</v>
      </c>
      <c r="H7" s="14" t="s">
        <v>20</v>
      </c>
      <c r="I7" s="13" t="s">
        <v>20</v>
      </c>
      <c r="J7" s="14" t="s">
        <v>20</v>
      </c>
      <c r="L7" s="32" t="str">
        <f>IMAGE("https://res.cloudinary.com/dlbhgbxbf/image/upload/v1767894619/OP14-041_jp.png",4,80,60)</f>
        <v/>
      </c>
      <c r="M7" s="33" t="s">
        <v>30</v>
      </c>
      <c r="O7" s="34" t="str">
        <f>IMAGE("https://res.cloudinary.com/dlbhgbxbf/image/upload/v1767894619/OP14-041_jp.png",4,80,60)</f>
        <v/>
      </c>
      <c r="P7" s="35" t="s">
        <v>31</v>
      </c>
    </row>
    <row r="8" ht="60.0" customHeight="1">
      <c r="A8" s="5" t="str">
        <f>IMAGE("https://res.cloudinary.com/dlbhgbxbf/image/upload/v1767894619/OP05-098_jp.png",4,80,60)</f>
        <v/>
      </c>
      <c r="B8" s="6" t="s">
        <v>32</v>
      </c>
      <c r="C8" s="7">
        <v>1.0</v>
      </c>
      <c r="D8" s="7">
        <v>0.0</v>
      </c>
      <c r="E8" s="7">
        <v>1.0</v>
      </c>
      <c r="F8" s="8">
        <v>0.0</v>
      </c>
      <c r="G8" s="7" t="s">
        <v>20</v>
      </c>
      <c r="H8" s="8" t="s">
        <v>20</v>
      </c>
      <c r="I8" s="7" t="s">
        <v>20</v>
      </c>
      <c r="J8" s="8" t="s">
        <v>20</v>
      </c>
    </row>
    <row r="9" ht="60.0" customHeight="1">
      <c r="A9" s="11" t="str">
        <f>IMAGE("https://res.cloudinary.com/dlbhgbxbf/image/upload/v1767894619/OP09-062_jp.png",4,80,60)</f>
        <v/>
      </c>
      <c r="B9" s="12" t="s">
        <v>33</v>
      </c>
      <c r="C9" s="36">
        <v>1.0</v>
      </c>
      <c r="D9" s="36">
        <v>1.0</v>
      </c>
      <c r="E9" s="36">
        <v>0.0</v>
      </c>
      <c r="F9" s="14">
        <v>1.0</v>
      </c>
      <c r="G9" s="12" t="s">
        <v>20</v>
      </c>
      <c r="H9" s="14" t="s">
        <v>20</v>
      </c>
      <c r="I9" s="12" t="s">
        <v>20</v>
      </c>
      <c r="J9" s="14" t="s">
        <v>20</v>
      </c>
    </row>
  </sheetData>
  <mergeCells count="2">
    <mergeCell ref="L3:M3"/>
    <mergeCell ref="O3:P3"/>
  </mergeCells>
  <conditionalFormatting sqref="F2:F9">
    <cfRule type="cellIs" dxfId="0" priority="1" stopIfTrue="1" operator="lessThanOrEqual">
      <formula>0.39</formula>
    </cfRule>
  </conditionalFormatting>
  <conditionalFormatting sqref="F2:F9">
    <cfRule type="cellIs" dxfId="1" priority="2" stopIfTrue="1" operator="between">
      <formula>0.4</formula>
      <formula>0.49</formula>
    </cfRule>
  </conditionalFormatting>
  <conditionalFormatting sqref="F2:F9">
    <cfRule type="cellIs" dxfId="2" priority="3" stopIfTrue="1" operator="between">
      <formula>0.5</formula>
      <formula>0.6</formula>
    </cfRule>
  </conditionalFormatting>
  <conditionalFormatting sqref="F2:F9">
    <cfRule type="cellIs" dxfId="3" priority="4" stopIfTrue="1" operator="greaterThanOrEqual">
      <formula>0.6</formula>
    </cfRule>
  </conditionalFormatting>
  <conditionalFormatting sqref="H2:H9">
    <cfRule type="cellIs" dxfId="0" priority="5" stopIfTrue="1" operator="lessThanOrEqual">
      <formula>0.39</formula>
    </cfRule>
  </conditionalFormatting>
  <conditionalFormatting sqref="H2:H9">
    <cfRule type="cellIs" dxfId="1" priority="6" stopIfTrue="1" operator="between">
      <formula>0.4</formula>
      <formula>0.49</formula>
    </cfRule>
  </conditionalFormatting>
  <conditionalFormatting sqref="H2:H9">
    <cfRule type="cellIs" dxfId="2" priority="7" stopIfTrue="1" operator="between">
      <formula>0.5</formula>
      <formula>0.6</formula>
    </cfRule>
  </conditionalFormatting>
  <conditionalFormatting sqref="H2:H9">
    <cfRule type="cellIs" dxfId="3" priority="8" stopIfTrue="1" operator="greaterThanOrEqual">
      <formula>0.6</formula>
    </cfRule>
  </conditionalFormatting>
  <conditionalFormatting sqref="J2:J9">
    <cfRule type="cellIs" dxfId="0" priority="9" stopIfTrue="1" operator="lessThanOrEqual">
      <formula>0.39</formula>
    </cfRule>
  </conditionalFormatting>
  <conditionalFormatting sqref="J2:J9">
    <cfRule type="cellIs" dxfId="1" priority="10" stopIfTrue="1" operator="between">
      <formula>0.4</formula>
      <formula>0.49</formula>
    </cfRule>
  </conditionalFormatting>
  <conditionalFormatting sqref="J2:J9">
    <cfRule type="cellIs" dxfId="2" priority="11" stopIfTrue="1" operator="between">
      <formula>0.5</formula>
      <formula>0.6</formula>
    </cfRule>
  </conditionalFormatting>
  <conditionalFormatting sqref="J2:J9">
    <cfRule type="cellIs" dxfId="3" priority="12" stopIfTrue="1" operator="greaterThanOrEqual">
      <formula>0.6</formula>
    </cfRule>
  </conditionalFormatting>
  <dataValidations>
    <dataValidation type="list" allowBlank="1" sqref="M2">
      <formula1>"Todas,OP14,OP14 + EB03,OP15"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3" t="s">
        <v>6</v>
      </c>
      <c r="B1" s="3" t="s">
        <v>34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35</v>
      </c>
      <c r="H1" s="3" t="s">
        <v>11</v>
      </c>
      <c r="I1" s="3" t="s">
        <v>36</v>
      </c>
      <c r="J1" s="3" t="s">
        <v>11</v>
      </c>
    </row>
    <row r="2" ht="60.0" customHeight="1">
      <c r="A2" s="5" t="str">
        <f>IMAGE("https://res.cloudinary.com/dlbhgbxbf/image/upload/v1767894619/OP06-022_jp.png",4,80,60)</f>
        <v/>
      </c>
      <c r="B2" s="6" t="s">
        <v>37</v>
      </c>
      <c r="C2" s="37">
        <v>1.0</v>
      </c>
      <c r="D2" s="37">
        <v>1.0</v>
      </c>
      <c r="E2" s="37">
        <v>0.0</v>
      </c>
      <c r="F2" s="8">
        <v>1.0</v>
      </c>
      <c r="G2" s="37">
        <v>0.0</v>
      </c>
      <c r="H2" s="8" t="s">
        <v>20</v>
      </c>
      <c r="I2" s="37">
        <v>1.0</v>
      </c>
      <c r="J2" s="8">
        <v>1.0</v>
      </c>
    </row>
  </sheetData>
  <conditionalFormatting sqref="F2">
    <cfRule type="cellIs" dxfId="4" priority="1" stopIfTrue="1" operator="equal">
      <formula>"-"</formula>
    </cfRule>
  </conditionalFormatting>
  <conditionalFormatting sqref="F2">
    <cfRule type="cellIs" dxfId="0" priority="2" stopIfTrue="1" operator="lessThanOrEqual">
      <formula>0.39</formula>
    </cfRule>
  </conditionalFormatting>
  <conditionalFormatting sqref="F2">
    <cfRule type="cellIs" dxfId="1" priority="3" stopIfTrue="1" operator="between">
      <formula>0.4</formula>
      <formula>0.49</formula>
    </cfRule>
  </conditionalFormatting>
  <conditionalFormatting sqref="F2">
    <cfRule type="cellIs" dxfId="2" priority="4" stopIfTrue="1" operator="between">
      <formula>0.5</formula>
      <formula>0.6</formula>
    </cfRule>
  </conditionalFormatting>
  <conditionalFormatting sqref="F2">
    <cfRule type="cellIs" dxfId="3" priority="5" stopIfTrue="1" operator="greaterThanOrEqual">
      <formula>0.6</formula>
    </cfRule>
  </conditionalFormatting>
  <conditionalFormatting sqref="H2">
    <cfRule type="cellIs" dxfId="4" priority="6" stopIfTrue="1" operator="equal">
      <formula>"-"</formula>
    </cfRule>
  </conditionalFormatting>
  <conditionalFormatting sqref="H2">
    <cfRule type="cellIs" dxfId="0" priority="7" stopIfTrue="1" operator="lessThanOrEqual">
      <formula>0.39</formula>
    </cfRule>
  </conditionalFormatting>
  <conditionalFormatting sqref="H2">
    <cfRule type="cellIs" dxfId="1" priority="8" stopIfTrue="1" operator="between">
      <formula>0.4</formula>
      <formula>0.49</formula>
    </cfRule>
  </conditionalFormatting>
  <conditionalFormatting sqref="H2">
    <cfRule type="cellIs" dxfId="2" priority="9" stopIfTrue="1" operator="between">
      <formula>0.5</formula>
      <formula>0.6</formula>
    </cfRule>
  </conditionalFormatting>
  <conditionalFormatting sqref="H2">
    <cfRule type="cellIs" dxfId="3" priority="10" stopIfTrue="1" operator="greaterThanOrEqual">
      <formula>0.6</formula>
    </cfRule>
  </conditionalFormatting>
  <conditionalFormatting sqref="J2">
    <cfRule type="cellIs" dxfId="4" priority="11" stopIfTrue="1" operator="equal">
      <formula>"-"</formula>
    </cfRule>
  </conditionalFormatting>
  <conditionalFormatting sqref="J2">
    <cfRule type="cellIs" dxfId="0" priority="12" stopIfTrue="1" operator="lessThanOrEqual">
      <formula>0.39</formula>
    </cfRule>
  </conditionalFormatting>
  <conditionalFormatting sqref="J2">
    <cfRule type="cellIs" dxfId="1" priority="13" stopIfTrue="1" operator="between">
      <formula>0.4</formula>
      <formula>0.49</formula>
    </cfRule>
  </conditionalFormatting>
  <conditionalFormatting sqref="J2">
    <cfRule type="cellIs" dxfId="2" priority="14" stopIfTrue="1" operator="between">
      <formula>0.5</formula>
      <formula>0.6</formula>
    </cfRule>
  </conditionalFormatting>
  <conditionalFormatting sqref="J2">
    <cfRule type="cellIs" dxfId="3" priority="15" stopIfTrue="1" operator="greaterThanOrEqual">
      <formula>0.6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3" t="s">
        <v>6</v>
      </c>
      <c r="B1" s="3" t="s">
        <v>34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35</v>
      </c>
      <c r="H1" s="3" t="s">
        <v>11</v>
      </c>
      <c r="I1" s="3" t="s">
        <v>36</v>
      </c>
      <c r="J1" s="3" t="s">
        <v>11</v>
      </c>
    </row>
    <row r="2" ht="60.0" customHeight="1">
      <c r="A2" s="5" t="str">
        <f>IMAGE("https://res.cloudinary.com/dlbhgbxbf/image/upload/v1767894619/OP11-041_jp.png",4,80,60)</f>
        <v/>
      </c>
      <c r="B2" s="6" t="s">
        <v>38</v>
      </c>
      <c r="C2" s="37">
        <v>1.0</v>
      </c>
      <c r="D2" s="37">
        <v>0.0</v>
      </c>
      <c r="E2" s="37">
        <v>1.0</v>
      </c>
      <c r="F2" s="8">
        <v>0.0</v>
      </c>
      <c r="G2" s="37">
        <v>1.0</v>
      </c>
      <c r="H2" s="8">
        <v>0.0</v>
      </c>
      <c r="I2" s="37">
        <v>0.0</v>
      </c>
      <c r="J2" s="8" t="s">
        <v>20</v>
      </c>
    </row>
  </sheetData>
  <conditionalFormatting sqref="F2">
    <cfRule type="cellIs" dxfId="4" priority="1" stopIfTrue="1" operator="equal">
      <formula>"-"</formula>
    </cfRule>
  </conditionalFormatting>
  <conditionalFormatting sqref="F2">
    <cfRule type="cellIs" dxfId="0" priority="2" stopIfTrue="1" operator="lessThanOrEqual">
      <formula>0.39</formula>
    </cfRule>
  </conditionalFormatting>
  <conditionalFormatting sqref="F2">
    <cfRule type="cellIs" dxfId="1" priority="3" stopIfTrue="1" operator="between">
      <formula>0.4</formula>
      <formula>0.49</formula>
    </cfRule>
  </conditionalFormatting>
  <conditionalFormatting sqref="F2">
    <cfRule type="cellIs" dxfId="2" priority="4" stopIfTrue="1" operator="between">
      <formula>0.5</formula>
      <formula>0.6</formula>
    </cfRule>
  </conditionalFormatting>
  <conditionalFormatting sqref="F2">
    <cfRule type="cellIs" dxfId="3" priority="5" stopIfTrue="1" operator="greaterThanOrEqual">
      <formula>0.6</formula>
    </cfRule>
  </conditionalFormatting>
  <conditionalFormatting sqref="H2">
    <cfRule type="cellIs" dxfId="4" priority="6" stopIfTrue="1" operator="equal">
      <formula>"-"</formula>
    </cfRule>
  </conditionalFormatting>
  <conditionalFormatting sqref="H2">
    <cfRule type="cellIs" dxfId="0" priority="7" stopIfTrue="1" operator="lessThanOrEqual">
      <formula>0.39</formula>
    </cfRule>
  </conditionalFormatting>
  <conditionalFormatting sqref="H2">
    <cfRule type="cellIs" dxfId="1" priority="8" stopIfTrue="1" operator="between">
      <formula>0.4</formula>
      <formula>0.49</formula>
    </cfRule>
  </conditionalFormatting>
  <conditionalFormatting sqref="H2">
    <cfRule type="cellIs" dxfId="2" priority="9" stopIfTrue="1" operator="between">
      <formula>0.5</formula>
      <formula>0.6</formula>
    </cfRule>
  </conditionalFormatting>
  <conditionalFormatting sqref="H2">
    <cfRule type="cellIs" dxfId="3" priority="10" stopIfTrue="1" operator="greaterThanOrEqual">
      <formula>0.6</formula>
    </cfRule>
  </conditionalFormatting>
  <conditionalFormatting sqref="J2">
    <cfRule type="cellIs" dxfId="4" priority="11" stopIfTrue="1" operator="equal">
      <formula>"-"</formula>
    </cfRule>
  </conditionalFormatting>
  <conditionalFormatting sqref="J2">
    <cfRule type="cellIs" dxfId="0" priority="12" stopIfTrue="1" operator="lessThanOrEqual">
      <formula>0.39</formula>
    </cfRule>
  </conditionalFormatting>
  <conditionalFormatting sqref="J2">
    <cfRule type="cellIs" dxfId="1" priority="13" stopIfTrue="1" operator="between">
      <formula>0.4</formula>
      <formula>0.49</formula>
    </cfRule>
  </conditionalFormatting>
  <conditionalFormatting sqref="J2">
    <cfRule type="cellIs" dxfId="2" priority="14" stopIfTrue="1" operator="between">
      <formula>0.5</formula>
      <formula>0.6</formula>
    </cfRule>
  </conditionalFormatting>
  <conditionalFormatting sqref="J2">
    <cfRule type="cellIs" dxfId="3" priority="15" stopIfTrue="1" operator="greaterThanOrEqual">
      <formula>0.6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3" t="s">
        <v>6</v>
      </c>
      <c r="B1" s="3" t="s">
        <v>34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35</v>
      </c>
      <c r="H1" s="3" t="s">
        <v>11</v>
      </c>
      <c r="I1" s="3" t="s">
        <v>36</v>
      </c>
      <c r="J1" s="3" t="s">
        <v>11</v>
      </c>
    </row>
    <row r="2" ht="60.0" customHeight="1">
      <c r="A2" s="5" t="str">
        <f>IMAGE("https://res.cloudinary.com/dlbhgbxbf/image/upload/v1767894619/OP11-001_jp.png",4,80,60)</f>
        <v/>
      </c>
      <c r="B2" s="6" t="s">
        <v>39</v>
      </c>
      <c r="C2" s="37">
        <v>1.0</v>
      </c>
      <c r="D2" s="37">
        <v>1.0</v>
      </c>
      <c r="E2" s="37">
        <v>0.0</v>
      </c>
      <c r="F2" s="8">
        <v>1.0</v>
      </c>
      <c r="G2" s="37">
        <v>0.0</v>
      </c>
      <c r="H2" s="8" t="s">
        <v>20</v>
      </c>
      <c r="I2" s="37">
        <v>1.0</v>
      </c>
      <c r="J2" s="8">
        <v>1.0</v>
      </c>
    </row>
    <row r="3" ht="60.0" customHeight="1">
      <c r="A3" s="11" t="str">
        <f>IMAGE("https://res.cloudinary.com/dlbhgbxbf/image/upload/v1767894619/OP14-079_jp.png",4,80,60)</f>
        <v/>
      </c>
      <c r="B3" s="12" t="s">
        <v>40</v>
      </c>
      <c r="C3" s="36">
        <v>1.0</v>
      </c>
      <c r="D3" s="36">
        <v>0.0</v>
      </c>
      <c r="E3" s="36">
        <v>1.0</v>
      </c>
      <c r="F3" s="14">
        <v>0.0</v>
      </c>
      <c r="G3" s="36">
        <v>1.0</v>
      </c>
      <c r="H3" s="14">
        <v>0.0</v>
      </c>
      <c r="I3" s="36">
        <v>0.0</v>
      </c>
      <c r="J3" s="14" t="s">
        <v>20</v>
      </c>
    </row>
  </sheetData>
  <conditionalFormatting sqref="F2:F3">
    <cfRule type="cellIs" dxfId="4" priority="1" stopIfTrue="1" operator="equal">
      <formula>"-"</formula>
    </cfRule>
  </conditionalFormatting>
  <conditionalFormatting sqref="F2:F3">
    <cfRule type="cellIs" dxfId="0" priority="2" stopIfTrue="1" operator="lessThanOrEqual">
      <formula>0.39</formula>
    </cfRule>
  </conditionalFormatting>
  <conditionalFormatting sqref="F2:F3">
    <cfRule type="cellIs" dxfId="1" priority="3" stopIfTrue="1" operator="between">
      <formula>0.4</formula>
      <formula>0.49</formula>
    </cfRule>
  </conditionalFormatting>
  <conditionalFormatting sqref="F2:F3">
    <cfRule type="cellIs" dxfId="2" priority="4" stopIfTrue="1" operator="between">
      <formula>0.5</formula>
      <formula>0.6</formula>
    </cfRule>
  </conditionalFormatting>
  <conditionalFormatting sqref="F2:F3">
    <cfRule type="cellIs" dxfId="3" priority="5" stopIfTrue="1" operator="greaterThanOrEqual">
      <formula>0.6</formula>
    </cfRule>
  </conditionalFormatting>
  <conditionalFormatting sqref="H2:H3">
    <cfRule type="cellIs" dxfId="4" priority="6" stopIfTrue="1" operator="equal">
      <formula>"-"</formula>
    </cfRule>
  </conditionalFormatting>
  <conditionalFormatting sqref="H2:H3">
    <cfRule type="cellIs" dxfId="0" priority="7" stopIfTrue="1" operator="lessThanOrEqual">
      <formula>0.39</formula>
    </cfRule>
  </conditionalFormatting>
  <conditionalFormatting sqref="H2:H3">
    <cfRule type="cellIs" dxfId="1" priority="8" stopIfTrue="1" operator="between">
      <formula>0.4</formula>
      <formula>0.49</formula>
    </cfRule>
  </conditionalFormatting>
  <conditionalFormatting sqref="H2:H3">
    <cfRule type="cellIs" dxfId="2" priority="9" stopIfTrue="1" operator="between">
      <formula>0.5</formula>
      <formula>0.6</formula>
    </cfRule>
  </conditionalFormatting>
  <conditionalFormatting sqref="H2:H3">
    <cfRule type="cellIs" dxfId="3" priority="10" stopIfTrue="1" operator="greaterThanOrEqual">
      <formula>0.6</formula>
    </cfRule>
  </conditionalFormatting>
  <conditionalFormatting sqref="J2:J3">
    <cfRule type="cellIs" dxfId="4" priority="11" stopIfTrue="1" operator="equal">
      <formula>"-"</formula>
    </cfRule>
  </conditionalFormatting>
  <conditionalFormatting sqref="J2:J3">
    <cfRule type="cellIs" dxfId="0" priority="12" stopIfTrue="1" operator="lessThanOrEqual">
      <formula>0.39</formula>
    </cfRule>
  </conditionalFormatting>
  <conditionalFormatting sqref="J2:J3">
    <cfRule type="cellIs" dxfId="1" priority="13" stopIfTrue="1" operator="between">
      <formula>0.4</formula>
      <formula>0.49</formula>
    </cfRule>
  </conditionalFormatting>
  <conditionalFormatting sqref="J2:J3">
    <cfRule type="cellIs" dxfId="2" priority="14" stopIfTrue="1" operator="between">
      <formula>0.5</formula>
      <formula>0.6</formula>
    </cfRule>
  </conditionalFormatting>
  <conditionalFormatting sqref="J2:J3">
    <cfRule type="cellIs" dxfId="3" priority="15" stopIfTrue="1" operator="greaterThanOrEqual">
      <formula>0.6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3" t="s">
        <v>6</v>
      </c>
      <c r="B1" s="3" t="s">
        <v>34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35</v>
      </c>
      <c r="H1" s="3" t="s">
        <v>11</v>
      </c>
      <c r="I1" s="3" t="s">
        <v>36</v>
      </c>
      <c r="J1" s="3" t="s">
        <v>11</v>
      </c>
    </row>
    <row r="2" ht="60.0" customHeight="1">
      <c r="A2" s="5" t="str">
        <f>IMAGE("https://res.cloudinary.com/dlbhgbxbf/image/upload/v1767894619/OP09-022_jp.png",4,80,60)</f>
        <v/>
      </c>
      <c r="B2" s="6" t="s">
        <v>41</v>
      </c>
      <c r="C2" s="37">
        <v>1.0</v>
      </c>
      <c r="D2" s="37">
        <v>1.0</v>
      </c>
      <c r="E2" s="37">
        <v>0.0</v>
      </c>
      <c r="F2" s="8">
        <v>1.0</v>
      </c>
      <c r="G2" s="37">
        <v>0.0</v>
      </c>
      <c r="H2" s="8" t="s">
        <v>20</v>
      </c>
      <c r="I2" s="37">
        <v>1.0</v>
      </c>
      <c r="J2" s="8">
        <v>1.0</v>
      </c>
    </row>
    <row r="3" ht="60.0" customHeight="1">
      <c r="A3" s="11" t="str">
        <f>IMAGE("https://res.cloudinary.com/dlbhgbxbf/image/upload/v1767894619/OP07-059_jp.png",4,80,60)</f>
        <v/>
      </c>
      <c r="B3" s="12" t="s">
        <v>42</v>
      </c>
      <c r="C3" s="36">
        <v>1.0</v>
      </c>
      <c r="D3" s="36">
        <v>1.0</v>
      </c>
      <c r="E3" s="36">
        <v>0.0</v>
      </c>
      <c r="F3" s="14">
        <v>1.0</v>
      </c>
      <c r="G3" s="36">
        <v>1.0</v>
      </c>
      <c r="H3" s="14">
        <v>1.0</v>
      </c>
      <c r="I3" s="36">
        <v>0.0</v>
      </c>
      <c r="J3" s="14" t="s">
        <v>20</v>
      </c>
    </row>
    <row r="4" ht="60.0" customHeight="1">
      <c r="A4" s="5" t="str">
        <f>IMAGE("https://res.cloudinary.com/dlbhgbxbf/image/upload/v1767894619/OP12-041_jp.png",4,80,60)</f>
        <v/>
      </c>
      <c r="B4" s="6" t="s">
        <v>43</v>
      </c>
      <c r="C4" s="37">
        <v>1.0</v>
      </c>
      <c r="D4" s="37">
        <v>0.0</v>
      </c>
      <c r="E4" s="37">
        <v>1.0</v>
      </c>
      <c r="F4" s="8">
        <v>0.0</v>
      </c>
      <c r="G4" s="37">
        <v>1.0</v>
      </c>
      <c r="H4" s="8">
        <v>0.0</v>
      </c>
      <c r="I4" s="37">
        <v>0.0</v>
      </c>
      <c r="J4" s="8" t="s">
        <v>20</v>
      </c>
    </row>
  </sheetData>
  <conditionalFormatting sqref="F2:F4">
    <cfRule type="cellIs" dxfId="4" priority="1" stopIfTrue="1" operator="equal">
      <formula>"-"</formula>
    </cfRule>
  </conditionalFormatting>
  <conditionalFormatting sqref="F2:F4">
    <cfRule type="cellIs" dxfId="0" priority="2" stopIfTrue="1" operator="lessThanOrEqual">
      <formula>0.39</formula>
    </cfRule>
  </conditionalFormatting>
  <conditionalFormatting sqref="F2:F4">
    <cfRule type="cellIs" dxfId="1" priority="3" stopIfTrue="1" operator="between">
      <formula>0.4</formula>
      <formula>0.49</formula>
    </cfRule>
  </conditionalFormatting>
  <conditionalFormatting sqref="F2:F4">
    <cfRule type="cellIs" dxfId="2" priority="4" stopIfTrue="1" operator="between">
      <formula>0.5</formula>
      <formula>0.6</formula>
    </cfRule>
  </conditionalFormatting>
  <conditionalFormatting sqref="F2:F4">
    <cfRule type="cellIs" dxfId="3" priority="5" stopIfTrue="1" operator="greaterThanOrEqual">
      <formula>0.6</formula>
    </cfRule>
  </conditionalFormatting>
  <conditionalFormatting sqref="H2:H4">
    <cfRule type="cellIs" dxfId="4" priority="6" stopIfTrue="1" operator="equal">
      <formula>"-"</formula>
    </cfRule>
  </conditionalFormatting>
  <conditionalFormatting sqref="H2:H4">
    <cfRule type="cellIs" dxfId="0" priority="7" stopIfTrue="1" operator="lessThanOrEqual">
      <formula>0.39</formula>
    </cfRule>
  </conditionalFormatting>
  <conditionalFormatting sqref="H2:H4">
    <cfRule type="cellIs" dxfId="1" priority="8" stopIfTrue="1" operator="between">
      <formula>0.4</formula>
      <formula>0.49</formula>
    </cfRule>
  </conditionalFormatting>
  <conditionalFormatting sqref="H2:H4">
    <cfRule type="cellIs" dxfId="2" priority="9" stopIfTrue="1" operator="between">
      <formula>0.5</formula>
      <formula>0.6</formula>
    </cfRule>
  </conditionalFormatting>
  <conditionalFormatting sqref="H2:H4">
    <cfRule type="cellIs" dxfId="3" priority="10" stopIfTrue="1" operator="greaterThanOrEqual">
      <formula>0.6</formula>
    </cfRule>
  </conditionalFormatting>
  <conditionalFormatting sqref="J2:J4">
    <cfRule type="cellIs" dxfId="4" priority="11" stopIfTrue="1" operator="equal">
      <formula>"-"</formula>
    </cfRule>
  </conditionalFormatting>
  <conditionalFormatting sqref="J2:J4">
    <cfRule type="cellIs" dxfId="0" priority="12" stopIfTrue="1" operator="lessThanOrEqual">
      <formula>0.39</formula>
    </cfRule>
  </conditionalFormatting>
  <conditionalFormatting sqref="J2:J4">
    <cfRule type="cellIs" dxfId="1" priority="13" stopIfTrue="1" operator="between">
      <formula>0.4</formula>
      <formula>0.49</formula>
    </cfRule>
  </conditionalFormatting>
  <conditionalFormatting sqref="J2:J4">
    <cfRule type="cellIs" dxfId="2" priority="14" stopIfTrue="1" operator="between">
      <formula>0.5</formula>
      <formula>0.6</formula>
    </cfRule>
  </conditionalFormatting>
  <conditionalFormatting sqref="J2:J4">
    <cfRule type="cellIs" dxfId="3" priority="15" stopIfTrue="1" operator="greaterThanOrEqual">
      <formula>0.6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3" t="s">
        <v>6</v>
      </c>
      <c r="B1" s="3" t="s">
        <v>34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35</v>
      </c>
      <c r="H1" s="3" t="s">
        <v>11</v>
      </c>
      <c r="I1" s="3" t="s">
        <v>36</v>
      </c>
      <c r="J1" s="3" t="s">
        <v>11</v>
      </c>
    </row>
    <row r="2" ht="60.0" customHeight="1">
      <c r="A2" s="5" t="str">
        <f>IMAGE("https://res.cloudinary.com/dlbhgbxbf/image/upload/v1767894619/OP13-100_jp.png",4,80,60)</f>
        <v/>
      </c>
      <c r="B2" s="6" t="s">
        <v>44</v>
      </c>
      <c r="C2" s="37">
        <v>1.0</v>
      </c>
      <c r="D2" s="37">
        <v>1.0</v>
      </c>
      <c r="E2" s="37">
        <v>0.0</v>
      </c>
      <c r="F2" s="8">
        <v>1.0</v>
      </c>
      <c r="G2" s="37">
        <v>0.0</v>
      </c>
      <c r="H2" s="8" t="s">
        <v>20</v>
      </c>
      <c r="I2" s="37">
        <v>1.0</v>
      </c>
      <c r="J2" s="8">
        <v>1.0</v>
      </c>
    </row>
    <row r="3" ht="60.0" customHeight="1">
      <c r="A3" s="11" t="str">
        <f>IMAGE("https://res.cloudinary.com/dlbhgbxbf/image/upload/v1767894619/ST29-001_jp.png",4,80,60)</f>
        <v/>
      </c>
      <c r="B3" s="12" t="s">
        <v>45</v>
      </c>
      <c r="C3" s="36">
        <v>1.0</v>
      </c>
      <c r="D3" s="36">
        <v>0.0</v>
      </c>
      <c r="E3" s="36">
        <v>1.0</v>
      </c>
      <c r="F3" s="14">
        <v>0.0</v>
      </c>
      <c r="G3" s="36">
        <v>0.0</v>
      </c>
      <c r="H3" s="14" t="s">
        <v>20</v>
      </c>
      <c r="I3" s="36">
        <v>1.0</v>
      </c>
      <c r="J3" s="14">
        <v>0.0</v>
      </c>
    </row>
    <row r="4" ht="60.0" customHeight="1">
      <c r="A4" s="5" t="str">
        <f>IMAGE("https://res.cloudinary.com/dlbhgbxbf/image/upload/v1767894619/OP11-041_jp.png",4,80,60)</f>
        <v/>
      </c>
      <c r="B4" s="6" t="s">
        <v>38</v>
      </c>
      <c r="C4" s="37">
        <v>1.0</v>
      </c>
      <c r="D4" s="37">
        <v>0.0</v>
      </c>
      <c r="E4" s="37">
        <v>1.0</v>
      </c>
      <c r="F4" s="8">
        <v>0.0</v>
      </c>
      <c r="G4" s="37">
        <v>0.0</v>
      </c>
      <c r="H4" s="8" t="s">
        <v>20</v>
      </c>
      <c r="I4" s="37">
        <v>1.0</v>
      </c>
      <c r="J4" s="8">
        <v>0.0</v>
      </c>
    </row>
    <row r="5" ht="60.0" customHeight="1">
      <c r="A5" s="11" t="str">
        <f>IMAGE("https://res.cloudinary.com/dlbhgbxbf/image/upload/v1767894619/OP09-061_jp.png",4,80,60)</f>
        <v/>
      </c>
      <c r="B5" s="12" t="s">
        <v>46</v>
      </c>
      <c r="C5" s="36">
        <v>1.0</v>
      </c>
      <c r="D5" s="36">
        <v>1.0</v>
      </c>
      <c r="E5" s="36">
        <v>0.0</v>
      </c>
      <c r="F5" s="14">
        <v>1.0</v>
      </c>
      <c r="G5" s="36">
        <v>0.0</v>
      </c>
      <c r="H5" s="14" t="s">
        <v>20</v>
      </c>
      <c r="I5" s="36">
        <v>1.0</v>
      </c>
      <c r="J5" s="14">
        <v>1.0</v>
      </c>
    </row>
  </sheetData>
  <conditionalFormatting sqref="F2:F5">
    <cfRule type="cellIs" dxfId="4" priority="1" stopIfTrue="1" operator="equal">
      <formula>"-"</formula>
    </cfRule>
  </conditionalFormatting>
  <conditionalFormatting sqref="F2:F5">
    <cfRule type="cellIs" dxfId="0" priority="2" stopIfTrue="1" operator="lessThanOrEqual">
      <formula>0.39</formula>
    </cfRule>
  </conditionalFormatting>
  <conditionalFormatting sqref="F2:F5">
    <cfRule type="cellIs" dxfId="1" priority="3" stopIfTrue="1" operator="between">
      <formula>0.4</formula>
      <formula>0.49</formula>
    </cfRule>
  </conditionalFormatting>
  <conditionalFormatting sqref="F2:F5">
    <cfRule type="cellIs" dxfId="2" priority="4" stopIfTrue="1" operator="between">
      <formula>0.5</formula>
      <formula>0.6</formula>
    </cfRule>
  </conditionalFormatting>
  <conditionalFormatting sqref="F2:F5">
    <cfRule type="cellIs" dxfId="3" priority="5" stopIfTrue="1" operator="greaterThanOrEqual">
      <formula>0.6</formula>
    </cfRule>
  </conditionalFormatting>
  <conditionalFormatting sqref="H2:H5">
    <cfRule type="cellIs" dxfId="4" priority="6" stopIfTrue="1" operator="equal">
      <formula>"-"</formula>
    </cfRule>
  </conditionalFormatting>
  <conditionalFormatting sqref="H2:H5">
    <cfRule type="cellIs" dxfId="0" priority="7" stopIfTrue="1" operator="lessThanOrEqual">
      <formula>0.39</formula>
    </cfRule>
  </conditionalFormatting>
  <conditionalFormatting sqref="H2:H5">
    <cfRule type="cellIs" dxfId="1" priority="8" stopIfTrue="1" operator="between">
      <formula>0.4</formula>
      <formula>0.49</formula>
    </cfRule>
  </conditionalFormatting>
  <conditionalFormatting sqref="H2:H5">
    <cfRule type="cellIs" dxfId="2" priority="9" stopIfTrue="1" operator="between">
      <formula>0.5</formula>
      <formula>0.6</formula>
    </cfRule>
  </conditionalFormatting>
  <conditionalFormatting sqref="H2:H5">
    <cfRule type="cellIs" dxfId="3" priority="10" stopIfTrue="1" operator="greaterThanOrEqual">
      <formula>0.6</formula>
    </cfRule>
  </conditionalFormatting>
  <conditionalFormatting sqref="J2:J5">
    <cfRule type="cellIs" dxfId="4" priority="11" stopIfTrue="1" operator="equal">
      <formula>"-"</formula>
    </cfRule>
  </conditionalFormatting>
  <conditionalFormatting sqref="J2:J5">
    <cfRule type="cellIs" dxfId="0" priority="12" stopIfTrue="1" operator="lessThanOrEqual">
      <formula>0.39</formula>
    </cfRule>
  </conditionalFormatting>
  <conditionalFormatting sqref="J2:J5">
    <cfRule type="cellIs" dxfId="1" priority="13" stopIfTrue="1" operator="between">
      <formula>0.4</formula>
      <formula>0.49</formula>
    </cfRule>
  </conditionalFormatting>
  <conditionalFormatting sqref="J2:J5">
    <cfRule type="cellIs" dxfId="2" priority="14" stopIfTrue="1" operator="between">
      <formula>0.5</formula>
      <formula>0.6</formula>
    </cfRule>
  </conditionalFormatting>
  <conditionalFormatting sqref="J2:J5">
    <cfRule type="cellIs" dxfId="3" priority="15" stopIfTrue="1" operator="greaterThanOrEqual">
      <formula>0.6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3" t="s">
        <v>6</v>
      </c>
      <c r="B1" s="3" t="s">
        <v>34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35</v>
      </c>
      <c r="H1" s="3" t="s">
        <v>11</v>
      </c>
      <c r="I1" s="3" t="s">
        <v>36</v>
      </c>
      <c r="J1" s="3" t="s">
        <v>11</v>
      </c>
    </row>
    <row r="2" ht="60.0" customHeight="1">
      <c r="A2" s="5" t="str">
        <f>IMAGE("https://res.cloudinary.com/dlbhgbxbf/image/upload/v1767894619/ST29-001_jp.png",4,80,60)</f>
        <v/>
      </c>
      <c r="B2" s="6" t="s">
        <v>45</v>
      </c>
      <c r="C2" s="37">
        <v>5.0</v>
      </c>
      <c r="D2" s="37">
        <v>3.0</v>
      </c>
      <c r="E2" s="37">
        <v>2.0</v>
      </c>
      <c r="F2" s="8">
        <v>0.6</v>
      </c>
      <c r="G2" s="37">
        <v>2.0</v>
      </c>
      <c r="H2" s="8">
        <v>1.0</v>
      </c>
      <c r="I2" s="37">
        <v>3.0</v>
      </c>
      <c r="J2" s="8">
        <v>0.3333333333333333</v>
      </c>
    </row>
    <row r="3" ht="60.0" customHeight="1">
      <c r="A3" s="11" t="str">
        <f>IMAGE("https://res.cloudinary.com/dlbhgbxbf/image/upload/v1767894619/OP07-059_jp.png",4,80,60)</f>
        <v/>
      </c>
      <c r="B3" s="12" t="s">
        <v>42</v>
      </c>
      <c r="C3" s="36">
        <v>4.0</v>
      </c>
      <c r="D3" s="36">
        <v>3.0</v>
      </c>
      <c r="E3" s="36">
        <v>1.0</v>
      </c>
      <c r="F3" s="14">
        <v>0.75</v>
      </c>
      <c r="G3" s="36">
        <v>3.0</v>
      </c>
      <c r="H3" s="14">
        <v>0.6666666666666666</v>
      </c>
      <c r="I3" s="36">
        <v>1.0</v>
      </c>
      <c r="J3" s="14">
        <v>1.0</v>
      </c>
    </row>
    <row r="4" ht="60.0" customHeight="1">
      <c r="A4" s="5" t="str">
        <f>IMAGE("https://res.cloudinary.com/dlbhgbxbf/image/upload/v1767894619/OP14-020_jp.png",4,80,60)</f>
        <v/>
      </c>
      <c r="B4" s="6" t="s">
        <v>47</v>
      </c>
      <c r="C4" s="37">
        <v>3.0</v>
      </c>
      <c r="D4" s="37">
        <v>3.0</v>
      </c>
      <c r="E4" s="37">
        <v>0.0</v>
      </c>
      <c r="F4" s="8">
        <v>1.0</v>
      </c>
      <c r="G4" s="37">
        <v>2.0</v>
      </c>
      <c r="H4" s="8">
        <v>1.0</v>
      </c>
      <c r="I4" s="37">
        <v>1.0</v>
      </c>
      <c r="J4" s="8">
        <v>1.0</v>
      </c>
    </row>
    <row r="5" ht="60.0" customHeight="1">
      <c r="A5" s="11" t="str">
        <f>IMAGE("https://res.cloudinary.com/dlbhgbxbf/image/upload/v1767894619/ST10-003_jp.png",4,80,60)</f>
        <v/>
      </c>
      <c r="B5" s="12" t="s">
        <v>48</v>
      </c>
      <c r="C5" s="36">
        <v>2.0</v>
      </c>
      <c r="D5" s="36">
        <v>2.0</v>
      </c>
      <c r="E5" s="36">
        <v>0.0</v>
      </c>
      <c r="F5" s="14">
        <v>1.0</v>
      </c>
      <c r="G5" s="36">
        <v>2.0</v>
      </c>
      <c r="H5" s="14">
        <v>1.0</v>
      </c>
      <c r="I5" s="36">
        <v>0.0</v>
      </c>
      <c r="J5" s="14" t="s">
        <v>20</v>
      </c>
    </row>
    <row r="6" ht="60.0" customHeight="1">
      <c r="A6" s="5" t="str">
        <f>IMAGE("https://res.cloudinary.com/dlbhgbxbf/image/upload/v1767894619/OP14-041_jp.png",4,80,60)</f>
        <v/>
      </c>
      <c r="B6" s="6" t="s">
        <v>49</v>
      </c>
      <c r="C6" s="37">
        <v>2.0</v>
      </c>
      <c r="D6" s="37">
        <v>1.0</v>
      </c>
      <c r="E6" s="37">
        <v>1.0</v>
      </c>
      <c r="F6" s="8">
        <v>0.5</v>
      </c>
      <c r="G6" s="37">
        <v>1.0</v>
      </c>
      <c r="H6" s="8">
        <v>1.0</v>
      </c>
      <c r="I6" s="37">
        <v>1.0</v>
      </c>
      <c r="J6" s="8">
        <v>0.0</v>
      </c>
    </row>
    <row r="7" ht="60.0" customHeight="1">
      <c r="A7" s="11" t="str">
        <f>IMAGE("https://res.cloudinary.com/dlbhgbxbf/image/upload/v1767894619/OP07-019_jp.png",4,80,60)</f>
        <v/>
      </c>
      <c r="B7" s="12" t="s">
        <v>50</v>
      </c>
      <c r="C7" s="36">
        <v>2.0</v>
      </c>
      <c r="D7" s="36">
        <v>2.0</v>
      </c>
      <c r="E7" s="36">
        <v>0.0</v>
      </c>
      <c r="F7" s="14">
        <v>1.0</v>
      </c>
      <c r="G7" s="36">
        <v>1.0</v>
      </c>
      <c r="H7" s="14">
        <v>1.0</v>
      </c>
      <c r="I7" s="36">
        <v>1.0</v>
      </c>
      <c r="J7" s="14">
        <v>1.0</v>
      </c>
    </row>
    <row r="8" ht="60.0" customHeight="1">
      <c r="A8" s="5" t="str">
        <f>IMAGE("https://res.cloudinary.com/dlbhgbxbf/image/upload/v1767894619/OP14-080_jp.png",4,80,60)</f>
        <v/>
      </c>
      <c r="B8" s="6" t="s">
        <v>51</v>
      </c>
      <c r="C8" s="37">
        <v>1.0</v>
      </c>
      <c r="D8" s="37">
        <v>1.0</v>
      </c>
      <c r="E8" s="37">
        <v>0.0</v>
      </c>
      <c r="F8" s="8">
        <v>1.0</v>
      </c>
      <c r="G8" s="37">
        <v>1.0</v>
      </c>
      <c r="H8" s="8">
        <v>1.0</v>
      </c>
      <c r="I8" s="37">
        <v>0.0</v>
      </c>
      <c r="J8" s="8" t="s">
        <v>20</v>
      </c>
    </row>
    <row r="9" ht="60.0" customHeight="1">
      <c r="A9" s="11" t="str">
        <f>IMAGE("https://res.cloudinary.com/dlbhgbxbf/image/upload/v1767894619/OP13-079_jp.png",4,80,60)</f>
        <v/>
      </c>
      <c r="B9" s="12" t="s">
        <v>52</v>
      </c>
      <c r="C9" s="36">
        <v>1.0</v>
      </c>
      <c r="D9" s="36">
        <v>1.0</v>
      </c>
      <c r="E9" s="36">
        <v>0.0</v>
      </c>
      <c r="F9" s="14">
        <v>1.0</v>
      </c>
      <c r="G9" s="36">
        <v>1.0</v>
      </c>
      <c r="H9" s="14">
        <v>1.0</v>
      </c>
      <c r="I9" s="36">
        <v>0.0</v>
      </c>
      <c r="J9" s="14" t="s">
        <v>20</v>
      </c>
    </row>
    <row r="10" ht="60.0" customHeight="1">
      <c r="A10" s="5" t="str">
        <f>IMAGE("https://res.cloudinary.com/dlbhgbxbf/image/upload/v1767894619/OP12-040_jp.png",4,80,60)</f>
        <v/>
      </c>
      <c r="B10" s="6" t="s">
        <v>53</v>
      </c>
      <c r="C10" s="37">
        <v>1.0</v>
      </c>
      <c r="D10" s="37">
        <v>1.0</v>
      </c>
      <c r="E10" s="37">
        <v>0.0</v>
      </c>
      <c r="F10" s="8">
        <v>1.0</v>
      </c>
      <c r="G10" s="37">
        <v>1.0</v>
      </c>
      <c r="H10" s="8">
        <v>1.0</v>
      </c>
      <c r="I10" s="37">
        <v>0.0</v>
      </c>
      <c r="J10" s="8" t="s">
        <v>20</v>
      </c>
    </row>
    <row r="11" ht="60.0" customHeight="1">
      <c r="A11" s="11" t="str">
        <f>IMAGE("https://res.cloudinary.com/dlbhgbxbf/image/upload/v1767894619/OP14-079_jp.png",4,80,60)</f>
        <v/>
      </c>
      <c r="B11" s="12" t="s">
        <v>40</v>
      </c>
      <c r="C11" s="36">
        <v>1.0</v>
      </c>
      <c r="D11" s="36">
        <v>1.0</v>
      </c>
      <c r="E11" s="36">
        <v>0.0</v>
      </c>
      <c r="F11" s="14">
        <v>1.0</v>
      </c>
      <c r="G11" s="36">
        <v>1.0</v>
      </c>
      <c r="H11" s="14">
        <v>1.0</v>
      </c>
      <c r="I11" s="36">
        <v>0.0</v>
      </c>
      <c r="J11" s="14" t="s">
        <v>20</v>
      </c>
    </row>
    <row r="12" ht="60.0" customHeight="1">
      <c r="A12" s="5" t="str">
        <f>IMAGE("https://res.cloudinary.com/dlbhgbxbf/image/upload/v1767894619/EB02-010_jp.png",4,80,60)</f>
        <v/>
      </c>
      <c r="B12" s="6" t="s">
        <v>54</v>
      </c>
      <c r="C12" s="37">
        <v>1.0</v>
      </c>
      <c r="D12" s="37">
        <v>1.0</v>
      </c>
      <c r="E12" s="37">
        <v>0.0</v>
      </c>
      <c r="F12" s="8">
        <v>1.0</v>
      </c>
      <c r="G12" s="37">
        <v>1.0</v>
      </c>
      <c r="H12" s="8">
        <v>1.0</v>
      </c>
      <c r="I12" s="37">
        <v>0.0</v>
      </c>
      <c r="J12" s="8" t="s">
        <v>20</v>
      </c>
    </row>
    <row r="13" ht="60.0" customHeight="1">
      <c r="A13" s="11" t="str">
        <f>IMAGE("https://res.cloudinary.com/dlbhgbxbf/image/upload/v1767894619/OP13-001_jp.png",4,80,60)</f>
        <v/>
      </c>
      <c r="B13" s="12" t="s">
        <v>55</v>
      </c>
      <c r="C13" s="36">
        <v>1.0</v>
      </c>
      <c r="D13" s="36">
        <v>1.0</v>
      </c>
      <c r="E13" s="36">
        <v>0.0</v>
      </c>
      <c r="F13" s="14">
        <v>1.0</v>
      </c>
      <c r="G13" s="36">
        <v>1.0</v>
      </c>
      <c r="H13" s="14">
        <v>1.0</v>
      </c>
      <c r="I13" s="36">
        <v>0.0</v>
      </c>
      <c r="J13" s="14" t="s">
        <v>20</v>
      </c>
    </row>
  </sheetData>
  <conditionalFormatting sqref="F2:F13">
    <cfRule type="cellIs" dxfId="4" priority="1" stopIfTrue="1" operator="equal">
      <formula>"-"</formula>
    </cfRule>
  </conditionalFormatting>
  <conditionalFormatting sqref="F2:F13">
    <cfRule type="cellIs" dxfId="0" priority="2" stopIfTrue="1" operator="lessThanOrEqual">
      <formula>0.39</formula>
    </cfRule>
  </conditionalFormatting>
  <conditionalFormatting sqref="F2:F13">
    <cfRule type="cellIs" dxfId="1" priority="3" stopIfTrue="1" operator="between">
      <formula>0.4</formula>
      <formula>0.49</formula>
    </cfRule>
  </conditionalFormatting>
  <conditionalFormatting sqref="F2:F13">
    <cfRule type="cellIs" dxfId="2" priority="4" stopIfTrue="1" operator="between">
      <formula>0.5</formula>
      <formula>0.6</formula>
    </cfRule>
  </conditionalFormatting>
  <conditionalFormatting sqref="F2:F13">
    <cfRule type="cellIs" dxfId="3" priority="5" stopIfTrue="1" operator="greaterThanOrEqual">
      <formula>0.6</formula>
    </cfRule>
  </conditionalFormatting>
  <conditionalFormatting sqref="H2:H13">
    <cfRule type="cellIs" dxfId="4" priority="6" stopIfTrue="1" operator="equal">
      <formula>"-"</formula>
    </cfRule>
  </conditionalFormatting>
  <conditionalFormatting sqref="H2:H13">
    <cfRule type="cellIs" dxfId="0" priority="7" stopIfTrue="1" operator="lessThanOrEqual">
      <formula>0.39</formula>
    </cfRule>
  </conditionalFormatting>
  <conditionalFormatting sqref="H2:H13">
    <cfRule type="cellIs" dxfId="1" priority="8" stopIfTrue="1" operator="between">
      <formula>0.4</formula>
      <formula>0.49</formula>
    </cfRule>
  </conditionalFormatting>
  <conditionalFormatting sqref="H2:H13">
    <cfRule type="cellIs" dxfId="2" priority="9" stopIfTrue="1" operator="between">
      <formula>0.5</formula>
      <formula>0.6</formula>
    </cfRule>
  </conditionalFormatting>
  <conditionalFormatting sqref="H2:H13">
    <cfRule type="cellIs" dxfId="3" priority="10" stopIfTrue="1" operator="greaterThanOrEqual">
      <formula>0.6</formula>
    </cfRule>
  </conditionalFormatting>
  <conditionalFormatting sqref="J2:J13">
    <cfRule type="cellIs" dxfId="4" priority="11" stopIfTrue="1" operator="equal">
      <formula>"-"</formula>
    </cfRule>
  </conditionalFormatting>
  <conditionalFormatting sqref="J2:J13">
    <cfRule type="cellIs" dxfId="0" priority="12" stopIfTrue="1" operator="lessThanOrEqual">
      <formula>0.39</formula>
    </cfRule>
  </conditionalFormatting>
  <conditionalFormatting sqref="J2:J13">
    <cfRule type="cellIs" dxfId="1" priority="13" stopIfTrue="1" operator="between">
      <formula>0.4</formula>
      <formula>0.49</formula>
    </cfRule>
  </conditionalFormatting>
  <conditionalFormatting sqref="J2:J13">
    <cfRule type="cellIs" dxfId="2" priority="14" stopIfTrue="1" operator="between">
      <formula>0.5</formula>
      <formula>0.6</formula>
    </cfRule>
  </conditionalFormatting>
  <conditionalFormatting sqref="J2:J13">
    <cfRule type="cellIs" dxfId="3" priority="15" stopIfTrue="1" operator="greaterThanOrEqual">
      <formula>0.6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3" t="s">
        <v>6</v>
      </c>
      <c r="B1" s="3" t="s">
        <v>34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35</v>
      </c>
      <c r="H1" s="3" t="s">
        <v>11</v>
      </c>
      <c r="I1" s="3" t="s">
        <v>36</v>
      </c>
      <c r="J1" s="3" t="s">
        <v>11</v>
      </c>
    </row>
    <row r="2" ht="60.0" customHeight="1">
      <c r="A2" s="5" t="str">
        <f>IMAGE("https://res.cloudinary.com/dlbhgbxbf/image/upload/v1767894619/OP13-004_jp.png",4,80,60)</f>
        <v/>
      </c>
      <c r="B2" s="6" t="s">
        <v>56</v>
      </c>
      <c r="C2" s="37">
        <v>1.0</v>
      </c>
      <c r="D2" s="37">
        <v>1.0</v>
      </c>
      <c r="E2" s="37">
        <v>0.0</v>
      </c>
      <c r="F2" s="8">
        <v>1.0</v>
      </c>
      <c r="G2" s="37">
        <v>1.0</v>
      </c>
      <c r="H2" s="8">
        <v>1.0</v>
      </c>
      <c r="I2" s="37">
        <v>0.0</v>
      </c>
      <c r="J2" s="8" t="s">
        <v>20</v>
      </c>
    </row>
    <row r="3" ht="60.0" customHeight="1">
      <c r="A3" s="11" t="str">
        <f>IMAGE("https://res.cloudinary.com/dlbhgbxbf/image/upload/v1767894619/OP13-001_jp.png",4,80,60)</f>
        <v/>
      </c>
      <c r="B3" s="12" t="s">
        <v>55</v>
      </c>
      <c r="C3" s="36">
        <v>1.0</v>
      </c>
      <c r="D3" s="36">
        <v>1.0</v>
      </c>
      <c r="E3" s="36">
        <v>0.0</v>
      </c>
      <c r="F3" s="14">
        <v>1.0</v>
      </c>
      <c r="G3" s="36">
        <v>1.0</v>
      </c>
      <c r="H3" s="14">
        <v>1.0</v>
      </c>
      <c r="I3" s="36">
        <v>0.0</v>
      </c>
      <c r="J3" s="14" t="s">
        <v>20</v>
      </c>
    </row>
    <row r="4" ht="60.0" customHeight="1">
      <c r="A4" s="5" t="str">
        <f>IMAGE("https://res.cloudinary.com/dlbhgbxbf/image/upload/v1767894619/EB02-010_jp.png",4,80,60)</f>
        <v/>
      </c>
      <c r="B4" s="6" t="s">
        <v>54</v>
      </c>
      <c r="C4" s="37">
        <v>1.0</v>
      </c>
      <c r="D4" s="37">
        <v>1.0</v>
      </c>
      <c r="E4" s="37">
        <v>0.0</v>
      </c>
      <c r="F4" s="8">
        <v>1.0</v>
      </c>
      <c r="G4" s="37">
        <v>0.0</v>
      </c>
      <c r="H4" s="8" t="s">
        <v>20</v>
      </c>
      <c r="I4" s="37">
        <v>1.0</v>
      </c>
      <c r="J4" s="8">
        <v>1.0</v>
      </c>
    </row>
    <row r="5" ht="60.0" customHeight="1">
      <c r="A5" s="11" t="str">
        <f>IMAGE("https://res.cloudinary.com/dlbhgbxbf/image/upload/v1767894619/OP11-041_jp.png",4,80,60)</f>
        <v/>
      </c>
      <c r="B5" s="12" t="s">
        <v>38</v>
      </c>
      <c r="C5" s="36">
        <v>1.0</v>
      </c>
      <c r="D5" s="36">
        <v>1.0</v>
      </c>
      <c r="E5" s="36">
        <v>0.0</v>
      </c>
      <c r="F5" s="14">
        <v>1.0</v>
      </c>
      <c r="G5" s="36">
        <v>1.0</v>
      </c>
      <c r="H5" s="14">
        <v>1.0</v>
      </c>
      <c r="I5" s="36">
        <v>0.0</v>
      </c>
      <c r="J5" s="14" t="s">
        <v>20</v>
      </c>
    </row>
    <row r="6" ht="60.0" customHeight="1">
      <c r="A6" s="5" t="str">
        <f>IMAGE("https://res.cloudinary.com/dlbhgbxbf/image/upload/v1767894619/OP12-041_jp.png",4,80,60)</f>
        <v/>
      </c>
      <c r="B6" s="6" t="s">
        <v>43</v>
      </c>
      <c r="C6" s="37">
        <v>1.0</v>
      </c>
      <c r="D6" s="37">
        <v>1.0</v>
      </c>
      <c r="E6" s="37">
        <v>0.0</v>
      </c>
      <c r="F6" s="8">
        <v>1.0</v>
      </c>
      <c r="G6" s="37">
        <v>0.0</v>
      </c>
      <c r="H6" s="8" t="s">
        <v>20</v>
      </c>
      <c r="I6" s="37">
        <v>1.0</v>
      </c>
      <c r="J6" s="8">
        <v>1.0</v>
      </c>
    </row>
    <row r="7" ht="60.0" customHeight="1">
      <c r="A7" s="11" t="str">
        <f>IMAGE("https://res.cloudinary.com/dlbhgbxbf/image/upload/v1767894619/OP12-040_jp.png",4,80,60)</f>
        <v/>
      </c>
      <c r="B7" s="12" t="s">
        <v>53</v>
      </c>
      <c r="C7" s="36">
        <v>1.0</v>
      </c>
      <c r="D7" s="36">
        <v>1.0</v>
      </c>
      <c r="E7" s="36">
        <v>0.0</v>
      </c>
      <c r="F7" s="14">
        <v>1.0</v>
      </c>
      <c r="G7" s="36">
        <v>1.0</v>
      </c>
      <c r="H7" s="14">
        <v>1.0</v>
      </c>
      <c r="I7" s="36">
        <v>0.0</v>
      </c>
      <c r="J7" s="14" t="s">
        <v>20</v>
      </c>
    </row>
    <row r="8" ht="60.0" customHeight="1">
      <c r="A8" s="5" t="str">
        <f>IMAGE("https://res.cloudinary.com/dlbhgbxbf/image/upload/v1767894619/OP13-002_jp.png",4,80,60)</f>
        <v/>
      </c>
      <c r="B8" s="6" t="s">
        <v>57</v>
      </c>
      <c r="C8" s="37">
        <v>1.0</v>
      </c>
      <c r="D8" s="37">
        <v>1.0</v>
      </c>
      <c r="E8" s="37">
        <v>0.0</v>
      </c>
      <c r="F8" s="8">
        <v>1.0</v>
      </c>
      <c r="G8" s="37">
        <v>0.0</v>
      </c>
      <c r="H8" s="8" t="s">
        <v>20</v>
      </c>
      <c r="I8" s="37">
        <v>1.0</v>
      </c>
      <c r="J8" s="8">
        <v>1.0</v>
      </c>
    </row>
    <row r="9" ht="60.0" customHeight="1">
      <c r="A9" s="11" t="str">
        <f>IMAGE("https://res.cloudinary.com/dlbhgbxbf/image/upload/v1767894619/OP07-059_jp.png",4,80,60)</f>
        <v/>
      </c>
      <c r="B9" s="12" t="s">
        <v>42</v>
      </c>
      <c r="C9" s="36">
        <v>1.0</v>
      </c>
      <c r="D9" s="36">
        <v>1.0</v>
      </c>
      <c r="E9" s="36">
        <v>0.0</v>
      </c>
      <c r="F9" s="14">
        <v>1.0</v>
      </c>
      <c r="G9" s="36">
        <v>0.0</v>
      </c>
      <c r="H9" s="14" t="s">
        <v>20</v>
      </c>
      <c r="I9" s="36">
        <v>1.0</v>
      </c>
      <c r="J9" s="14">
        <v>1.0</v>
      </c>
    </row>
    <row r="10" ht="60.0" customHeight="1">
      <c r="A10" s="5" t="str">
        <f>IMAGE("https://res.cloudinary.com/dlbhgbxbf/image/upload/v1767894619/OP14-041_jp.png",4,80,60)</f>
        <v/>
      </c>
      <c r="B10" s="6" t="s">
        <v>49</v>
      </c>
      <c r="C10" s="37">
        <v>1.0</v>
      </c>
      <c r="D10" s="37">
        <v>0.0</v>
      </c>
      <c r="E10" s="37">
        <v>1.0</v>
      </c>
      <c r="F10" s="8">
        <v>0.0</v>
      </c>
      <c r="G10" s="37">
        <v>0.0</v>
      </c>
      <c r="H10" s="8" t="s">
        <v>20</v>
      </c>
      <c r="I10" s="37">
        <v>1.0</v>
      </c>
      <c r="J10" s="8">
        <v>0.0</v>
      </c>
    </row>
    <row r="11" ht="60.0" customHeight="1">
      <c r="A11" s="11" t="str">
        <f>IMAGE("https://res.cloudinary.com/dlbhgbxbf/image/upload/v1767894619/OP13-100_jp.png",4,80,60)</f>
        <v/>
      </c>
      <c r="B11" s="12" t="s">
        <v>44</v>
      </c>
      <c r="C11" s="36">
        <v>1.0</v>
      </c>
      <c r="D11" s="36">
        <v>1.0</v>
      </c>
      <c r="E11" s="36">
        <v>0.0</v>
      </c>
      <c r="F11" s="14">
        <v>1.0</v>
      </c>
      <c r="G11" s="36">
        <v>0.0</v>
      </c>
      <c r="H11" s="14" t="s">
        <v>20</v>
      </c>
      <c r="I11" s="36">
        <v>1.0</v>
      </c>
      <c r="J11" s="14">
        <v>1.0</v>
      </c>
    </row>
    <row r="12" ht="60.0" customHeight="1">
      <c r="A12" s="5" t="str">
        <f>IMAGE("https://res.cloudinary.com/dlbhgbxbf/image/upload/v1767894619/EB03-001_jp.png",4,80,60)</f>
        <v/>
      </c>
      <c r="B12" s="6" t="s">
        <v>58</v>
      </c>
      <c r="C12" s="37">
        <v>1.0</v>
      </c>
      <c r="D12" s="37">
        <v>1.0</v>
      </c>
      <c r="E12" s="37">
        <v>0.0</v>
      </c>
      <c r="F12" s="8">
        <v>1.0</v>
      </c>
      <c r="G12" s="37">
        <v>1.0</v>
      </c>
      <c r="H12" s="8">
        <v>1.0</v>
      </c>
      <c r="I12" s="37">
        <v>0.0</v>
      </c>
      <c r="J12" s="8" t="s">
        <v>20</v>
      </c>
    </row>
  </sheetData>
  <conditionalFormatting sqref="F2:F12">
    <cfRule type="cellIs" dxfId="4" priority="1" stopIfTrue="1" operator="equal">
      <formula>"-"</formula>
    </cfRule>
  </conditionalFormatting>
  <conditionalFormatting sqref="F2:F12">
    <cfRule type="cellIs" dxfId="0" priority="2" stopIfTrue="1" operator="lessThanOrEqual">
      <formula>0.39</formula>
    </cfRule>
  </conditionalFormatting>
  <conditionalFormatting sqref="F2:F12">
    <cfRule type="cellIs" dxfId="1" priority="3" stopIfTrue="1" operator="between">
      <formula>0.4</formula>
      <formula>0.49</formula>
    </cfRule>
  </conditionalFormatting>
  <conditionalFormatting sqref="F2:F12">
    <cfRule type="cellIs" dxfId="2" priority="4" stopIfTrue="1" operator="between">
      <formula>0.5</formula>
      <formula>0.6</formula>
    </cfRule>
  </conditionalFormatting>
  <conditionalFormatting sqref="F2:F12">
    <cfRule type="cellIs" dxfId="3" priority="5" stopIfTrue="1" operator="greaterThanOrEqual">
      <formula>0.6</formula>
    </cfRule>
  </conditionalFormatting>
  <conditionalFormatting sqref="H2:H12">
    <cfRule type="cellIs" dxfId="4" priority="6" stopIfTrue="1" operator="equal">
      <formula>"-"</formula>
    </cfRule>
  </conditionalFormatting>
  <conditionalFormatting sqref="H2:H12">
    <cfRule type="cellIs" dxfId="0" priority="7" stopIfTrue="1" operator="lessThanOrEqual">
      <formula>0.39</formula>
    </cfRule>
  </conditionalFormatting>
  <conditionalFormatting sqref="H2:H12">
    <cfRule type="cellIs" dxfId="1" priority="8" stopIfTrue="1" operator="between">
      <formula>0.4</formula>
      <formula>0.49</formula>
    </cfRule>
  </conditionalFormatting>
  <conditionalFormatting sqref="H2:H12">
    <cfRule type="cellIs" dxfId="2" priority="9" stopIfTrue="1" operator="between">
      <formula>0.5</formula>
      <formula>0.6</formula>
    </cfRule>
  </conditionalFormatting>
  <conditionalFormatting sqref="H2:H12">
    <cfRule type="cellIs" dxfId="3" priority="10" stopIfTrue="1" operator="greaterThanOrEqual">
      <formula>0.6</formula>
    </cfRule>
  </conditionalFormatting>
  <conditionalFormatting sqref="J2:J12">
    <cfRule type="cellIs" dxfId="4" priority="11" stopIfTrue="1" operator="equal">
      <formula>"-"</formula>
    </cfRule>
  </conditionalFormatting>
  <conditionalFormatting sqref="J2:J12">
    <cfRule type="cellIs" dxfId="0" priority="12" stopIfTrue="1" operator="lessThanOrEqual">
      <formula>0.39</formula>
    </cfRule>
  </conditionalFormatting>
  <conditionalFormatting sqref="J2:J12">
    <cfRule type="cellIs" dxfId="1" priority="13" stopIfTrue="1" operator="between">
      <formula>0.4</formula>
      <formula>0.49</formula>
    </cfRule>
  </conditionalFormatting>
  <conditionalFormatting sqref="J2:J12">
    <cfRule type="cellIs" dxfId="2" priority="14" stopIfTrue="1" operator="between">
      <formula>0.5</formula>
      <formula>0.6</formula>
    </cfRule>
  </conditionalFormatting>
  <conditionalFormatting sqref="J2:J12">
    <cfRule type="cellIs" dxfId="3" priority="15" stopIfTrue="1" operator="greaterThanOrEqual">
      <formula>0.6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3" t="s">
        <v>6</v>
      </c>
      <c r="B1" s="3" t="s">
        <v>34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35</v>
      </c>
      <c r="H1" s="3" t="s">
        <v>11</v>
      </c>
      <c r="I1" s="3" t="s">
        <v>36</v>
      </c>
      <c r="J1" s="3" t="s">
        <v>11</v>
      </c>
    </row>
    <row r="2" ht="60.0" customHeight="1">
      <c r="A2" s="5" t="str">
        <f>IMAGE("https://res.cloudinary.com/dlbhgbxbf/image/upload/v1767894619/OP14-041_jp.png",4,80,60)</f>
        <v/>
      </c>
      <c r="B2" s="6" t="s">
        <v>49</v>
      </c>
      <c r="C2" s="37">
        <v>3.0</v>
      </c>
      <c r="D2" s="37">
        <v>2.0</v>
      </c>
      <c r="E2" s="37">
        <v>1.0</v>
      </c>
      <c r="F2" s="8">
        <v>0.6666666666666666</v>
      </c>
      <c r="G2" s="37">
        <v>2.0</v>
      </c>
      <c r="H2" s="8">
        <v>1.0</v>
      </c>
      <c r="I2" s="37">
        <v>1.0</v>
      </c>
      <c r="J2" s="8">
        <v>0.0</v>
      </c>
    </row>
    <row r="3" ht="60.0" customHeight="1">
      <c r="A3" s="11" t="str">
        <f>IMAGE("https://res.cloudinary.com/dlbhgbxbf/image/upload/v1767894619/OP14-079_jp.png",4,80,60)</f>
        <v/>
      </c>
      <c r="B3" s="12" t="s">
        <v>40</v>
      </c>
      <c r="C3" s="36">
        <v>2.0</v>
      </c>
      <c r="D3" s="36">
        <v>0.0</v>
      </c>
      <c r="E3" s="36">
        <v>2.0</v>
      </c>
      <c r="F3" s="14">
        <v>0.0</v>
      </c>
      <c r="G3" s="36">
        <v>0.0</v>
      </c>
      <c r="H3" s="14" t="s">
        <v>20</v>
      </c>
      <c r="I3" s="36">
        <v>2.0</v>
      </c>
      <c r="J3" s="14">
        <v>0.0</v>
      </c>
    </row>
    <row r="4" ht="60.0" customHeight="1">
      <c r="A4" s="5" t="str">
        <f>IMAGE("https://res.cloudinary.com/dlbhgbxbf/image/upload/v1767894619/OP07-059_jp.png",4,80,60)</f>
        <v/>
      </c>
      <c r="B4" s="6" t="s">
        <v>42</v>
      </c>
      <c r="C4" s="37">
        <v>2.0</v>
      </c>
      <c r="D4" s="37">
        <v>0.0</v>
      </c>
      <c r="E4" s="37">
        <v>2.0</v>
      </c>
      <c r="F4" s="8">
        <v>0.0</v>
      </c>
      <c r="G4" s="37">
        <v>2.0</v>
      </c>
      <c r="H4" s="8">
        <v>0.0</v>
      </c>
      <c r="I4" s="37">
        <v>0.0</v>
      </c>
      <c r="J4" s="8" t="s">
        <v>20</v>
      </c>
    </row>
    <row r="5" ht="60.0" customHeight="1">
      <c r="A5" s="11" t="str">
        <f>IMAGE("https://res.cloudinary.com/dlbhgbxbf/image/upload/v1767894619/OP13-100_jp.png",4,80,60)</f>
        <v/>
      </c>
      <c r="B5" s="12" t="s">
        <v>44</v>
      </c>
      <c r="C5" s="36">
        <v>1.0</v>
      </c>
      <c r="D5" s="36">
        <v>0.0</v>
      </c>
      <c r="E5" s="36">
        <v>1.0</v>
      </c>
      <c r="F5" s="14">
        <v>0.0</v>
      </c>
      <c r="G5" s="36">
        <v>0.0</v>
      </c>
      <c r="H5" s="14" t="s">
        <v>20</v>
      </c>
      <c r="I5" s="36">
        <v>1.0</v>
      </c>
      <c r="J5" s="14">
        <v>0.0</v>
      </c>
    </row>
    <row r="6" ht="60.0" customHeight="1">
      <c r="A6" s="5" t="str">
        <f>IMAGE("https://res.cloudinary.com/dlbhgbxbf/image/upload/v1767894619/OP14-060_jp.png",4,80,60)</f>
        <v/>
      </c>
      <c r="B6" s="6" t="s">
        <v>59</v>
      </c>
      <c r="C6" s="37">
        <v>1.0</v>
      </c>
      <c r="D6" s="37">
        <v>1.0</v>
      </c>
      <c r="E6" s="37">
        <v>0.0</v>
      </c>
      <c r="F6" s="8">
        <v>1.0</v>
      </c>
      <c r="G6" s="37">
        <v>0.0</v>
      </c>
      <c r="H6" s="8" t="s">
        <v>20</v>
      </c>
      <c r="I6" s="37">
        <v>1.0</v>
      </c>
      <c r="J6" s="8">
        <v>1.0</v>
      </c>
    </row>
    <row r="7" ht="60.0" customHeight="1">
      <c r="A7" s="11" t="str">
        <f>IMAGE("https://res.cloudinary.com/dlbhgbxbf/image/upload/v1767894619/OP08-021_jp.png",4,80,60)</f>
        <v/>
      </c>
      <c r="B7" s="12" t="s">
        <v>60</v>
      </c>
      <c r="C7" s="36">
        <v>1.0</v>
      </c>
      <c r="D7" s="36">
        <v>1.0</v>
      </c>
      <c r="E7" s="36">
        <v>0.0</v>
      </c>
      <c r="F7" s="14">
        <v>1.0</v>
      </c>
      <c r="G7" s="36">
        <v>1.0</v>
      </c>
      <c r="H7" s="14">
        <v>1.0</v>
      </c>
      <c r="I7" s="36">
        <v>0.0</v>
      </c>
      <c r="J7" s="14" t="s">
        <v>20</v>
      </c>
    </row>
    <row r="8" ht="60.0" customHeight="1">
      <c r="A8" s="5" t="str">
        <f>IMAGE("https://res.cloudinary.com/dlbhgbxbf/image/upload/v1767894619/ST29-001_jp.png",4,80,60)</f>
        <v/>
      </c>
      <c r="B8" s="6" t="s">
        <v>45</v>
      </c>
      <c r="C8" s="37">
        <v>1.0</v>
      </c>
      <c r="D8" s="37">
        <v>0.0</v>
      </c>
      <c r="E8" s="37">
        <v>1.0</v>
      </c>
      <c r="F8" s="8">
        <v>0.0</v>
      </c>
      <c r="G8" s="37">
        <v>0.0</v>
      </c>
      <c r="H8" s="8" t="s">
        <v>20</v>
      </c>
      <c r="I8" s="37">
        <v>1.0</v>
      </c>
      <c r="J8" s="8">
        <v>0.0</v>
      </c>
    </row>
    <row r="9" ht="60.0" customHeight="1">
      <c r="A9" s="11" t="str">
        <f>IMAGE("https://res.cloudinary.com/dlbhgbxbf/image/upload/v1767894619/OP13-002_jp.png",4,80,60)</f>
        <v/>
      </c>
      <c r="B9" s="12" t="s">
        <v>57</v>
      </c>
      <c r="C9" s="36">
        <v>1.0</v>
      </c>
      <c r="D9" s="36">
        <v>1.0</v>
      </c>
      <c r="E9" s="36">
        <v>0.0</v>
      </c>
      <c r="F9" s="14">
        <v>1.0</v>
      </c>
      <c r="G9" s="36">
        <v>0.0</v>
      </c>
      <c r="H9" s="14" t="s">
        <v>20</v>
      </c>
      <c r="I9" s="36">
        <v>1.0</v>
      </c>
      <c r="J9" s="14">
        <v>1.0</v>
      </c>
    </row>
    <row r="10" ht="60.0" customHeight="1">
      <c r="A10" s="5" t="str">
        <f>IMAGE("https://res.cloudinary.com/dlbhgbxbf/image/upload/v1767894619/OP11-040_jp.png",4,80,60)</f>
        <v/>
      </c>
      <c r="B10" s="6" t="s">
        <v>61</v>
      </c>
      <c r="C10" s="37">
        <v>1.0</v>
      </c>
      <c r="D10" s="37">
        <v>0.0</v>
      </c>
      <c r="E10" s="37">
        <v>1.0</v>
      </c>
      <c r="F10" s="8">
        <v>0.0</v>
      </c>
      <c r="G10" s="37">
        <v>1.0</v>
      </c>
      <c r="H10" s="8">
        <v>0.0</v>
      </c>
      <c r="I10" s="37">
        <v>0.0</v>
      </c>
      <c r="J10" s="8" t="s">
        <v>20</v>
      </c>
    </row>
    <row r="11" ht="60.0" customHeight="1">
      <c r="A11" s="11" t="str">
        <f>IMAGE("https://res.cloudinary.com/dlbhgbxbf/image/upload/v1767894619/OP13-003_jp.png",4,80,60)</f>
        <v/>
      </c>
      <c r="B11" s="12" t="s">
        <v>62</v>
      </c>
      <c r="C11" s="36">
        <v>1.0</v>
      </c>
      <c r="D11" s="36">
        <v>1.0</v>
      </c>
      <c r="E11" s="36">
        <v>0.0</v>
      </c>
      <c r="F11" s="14">
        <v>1.0</v>
      </c>
      <c r="G11" s="36">
        <v>0.0</v>
      </c>
      <c r="H11" s="14" t="s">
        <v>20</v>
      </c>
      <c r="I11" s="36">
        <v>1.0</v>
      </c>
      <c r="J11" s="14">
        <v>1.0</v>
      </c>
    </row>
    <row r="12" ht="60.0" customHeight="1">
      <c r="A12" s="5" t="str">
        <f>IMAGE("https://res.cloudinary.com/dlbhgbxbf/image/upload/v1767894619/OP11-001_jp.png",4,80,60)</f>
        <v/>
      </c>
      <c r="B12" s="6" t="s">
        <v>39</v>
      </c>
      <c r="C12" s="37">
        <v>1.0</v>
      </c>
      <c r="D12" s="37">
        <v>1.0</v>
      </c>
      <c r="E12" s="37">
        <v>0.0</v>
      </c>
      <c r="F12" s="8">
        <v>1.0</v>
      </c>
      <c r="G12" s="37">
        <v>0.0</v>
      </c>
      <c r="H12" s="8" t="s">
        <v>20</v>
      </c>
      <c r="I12" s="37">
        <v>1.0</v>
      </c>
      <c r="J12" s="8">
        <v>1.0</v>
      </c>
    </row>
    <row r="13" ht="60.0" customHeight="1">
      <c r="A13" s="11" t="str">
        <f>IMAGE("https://res.cloudinary.com/dlbhgbxbf/image/upload/v1767894619/PRB01-001_jp.png",4,80,60)</f>
        <v/>
      </c>
      <c r="B13" s="12" t="s">
        <v>63</v>
      </c>
      <c r="C13" s="36">
        <v>1.0</v>
      </c>
      <c r="D13" s="36">
        <v>1.0</v>
      </c>
      <c r="E13" s="36">
        <v>0.0</v>
      </c>
      <c r="F13" s="14">
        <v>1.0</v>
      </c>
      <c r="G13" s="36">
        <v>0.0</v>
      </c>
      <c r="H13" s="14" t="s">
        <v>20</v>
      </c>
      <c r="I13" s="36">
        <v>1.0</v>
      </c>
      <c r="J13" s="14">
        <v>1.0</v>
      </c>
    </row>
    <row r="14" ht="60.0" customHeight="1">
      <c r="A14" s="5" t="str">
        <f>IMAGE("https://res.cloudinary.com/dlbhgbxbf/image/upload/v1767894619/OP10-099_jp.png",4,80,60)</f>
        <v/>
      </c>
      <c r="B14" s="6" t="s">
        <v>64</v>
      </c>
      <c r="C14" s="37">
        <v>1.0</v>
      </c>
      <c r="D14" s="37">
        <v>0.0</v>
      </c>
      <c r="E14" s="37">
        <v>1.0</v>
      </c>
      <c r="F14" s="8">
        <v>0.0</v>
      </c>
      <c r="G14" s="37">
        <v>0.0</v>
      </c>
      <c r="H14" s="8" t="s">
        <v>20</v>
      </c>
      <c r="I14" s="37">
        <v>1.0</v>
      </c>
      <c r="J14" s="8">
        <v>0.0</v>
      </c>
    </row>
  </sheetData>
  <conditionalFormatting sqref="F2:F14">
    <cfRule type="cellIs" dxfId="4" priority="1" stopIfTrue="1" operator="equal">
      <formula>"-"</formula>
    </cfRule>
  </conditionalFormatting>
  <conditionalFormatting sqref="F2:F14">
    <cfRule type="cellIs" dxfId="0" priority="2" stopIfTrue="1" operator="lessThanOrEqual">
      <formula>0.39</formula>
    </cfRule>
  </conditionalFormatting>
  <conditionalFormatting sqref="F2:F14">
    <cfRule type="cellIs" dxfId="1" priority="3" stopIfTrue="1" operator="between">
      <formula>0.4</formula>
      <formula>0.49</formula>
    </cfRule>
  </conditionalFormatting>
  <conditionalFormatting sqref="F2:F14">
    <cfRule type="cellIs" dxfId="2" priority="4" stopIfTrue="1" operator="between">
      <formula>0.5</formula>
      <formula>0.6</formula>
    </cfRule>
  </conditionalFormatting>
  <conditionalFormatting sqref="F2:F14">
    <cfRule type="cellIs" dxfId="3" priority="5" stopIfTrue="1" operator="greaterThanOrEqual">
      <formula>0.6</formula>
    </cfRule>
  </conditionalFormatting>
  <conditionalFormatting sqref="H2:H14">
    <cfRule type="cellIs" dxfId="4" priority="6" stopIfTrue="1" operator="equal">
      <formula>"-"</formula>
    </cfRule>
  </conditionalFormatting>
  <conditionalFormatting sqref="H2:H14">
    <cfRule type="cellIs" dxfId="0" priority="7" stopIfTrue="1" operator="lessThanOrEqual">
      <formula>0.39</formula>
    </cfRule>
  </conditionalFormatting>
  <conditionalFormatting sqref="H2:H14">
    <cfRule type="cellIs" dxfId="1" priority="8" stopIfTrue="1" operator="between">
      <formula>0.4</formula>
      <formula>0.49</formula>
    </cfRule>
  </conditionalFormatting>
  <conditionalFormatting sqref="H2:H14">
    <cfRule type="cellIs" dxfId="2" priority="9" stopIfTrue="1" operator="between">
      <formula>0.5</formula>
      <formula>0.6</formula>
    </cfRule>
  </conditionalFormatting>
  <conditionalFormatting sqref="H2:H14">
    <cfRule type="cellIs" dxfId="3" priority="10" stopIfTrue="1" operator="greaterThanOrEqual">
      <formula>0.6</formula>
    </cfRule>
  </conditionalFormatting>
  <conditionalFormatting sqref="J2:J14">
    <cfRule type="cellIs" dxfId="4" priority="11" stopIfTrue="1" operator="equal">
      <formula>"-"</formula>
    </cfRule>
  </conditionalFormatting>
  <conditionalFormatting sqref="J2:J14">
    <cfRule type="cellIs" dxfId="0" priority="12" stopIfTrue="1" operator="lessThanOrEqual">
      <formula>0.39</formula>
    </cfRule>
  </conditionalFormatting>
  <conditionalFormatting sqref="J2:J14">
    <cfRule type="cellIs" dxfId="1" priority="13" stopIfTrue="1" operator="between">
      <formula>0.4</formula>
      <formula>0.49</formula>
    </cfRule>
  </conditionalFormatting>
  <conditionalFormatting sqref="J2:J14">
    <cfRule type="cellIs" dxfId="2" priority="14" stopIfTrue="1" operator="between">
      <formula>0.5</formula>
      <formula>0.6</formula>
    </cfRule>
  </conditionalFormatting>
  <conditionalFormatting sqref="J2:J14">
    <cfRule type="cellIs" dxfId="3" priority="15" stopIfTrue="1" operator="greaterThanOrEqual">
      <formula>0.6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65</v>
      </c>
      <c r="B1" s="1" t="s">
        <v>7</v>
      </c>
      <c r="C1" s="1" t="s">
        <v>66</v>
      </c>
      <c r="D1" s="1" t="s">
        <v>67</v>
      </c>
      <c r="E1" s="1" t="s">
        <v>68</v>
      </c>
      <c r="F1" s="1" t="s">
        <v>69</v>
      </c>
      <c r="G1" s="1" t="s">
        <v>70</v>
      </c>
    </row>
    <row r="2">
      <c r="A2" s="1" t="s">
        <v>71</v>
      </c>
      <c r="B2" s="1" t="s">
        <v>49</v>
      </c>
      <c r="C2" s="1" t="s">
        <v>26</v>
      </c>
      <c r="D2" s="1" t="s">
        <v>41</v>
      </c>
      <c r="E2" s="1" t="s">
        <v>72</v>
      </c>
      <c r="F2" s="38">
        <v>1.0</v>
      </c>
      <c r="G2" s="38">
        <v>0.0</v>
      </c>
    </row>
    <row r="3">
      <c r="A3" s="1" t="s">
        <v>73</v>
      </c>
      <c r="B3" s="1" t="s">
        <v>74</v>
      </c>
      <c r="C3" s="1" t="s">
        <v>23</v>
      </c>
      <c r="D3" s="1" t="s">
        <v>44</v>
      </c>
      <c r="E3" s="1" t="s">
        <v>75</v>
      </c>
      <c r="F3" s="38">
        <v>1.0</v>
      </c>
      <c r="G3" s="38">
        <v>0.0</v>
      </c>
    </row>
    <row r="4">
      <c r="A4" s="1" t="s">
        <v>76</v>
      </c>
      <c r="B4" s="1" t="s">
        <v>74</v>
      </c>
      <c r="C4" s="1" t="s">
        <v>23</v>
      </c>
      <c r="D4" s="1" t="s">
        <v>45</v>
      </c>
      <c r="E4" s="1" t="s">
        <v>15</v>
      </c>
      <c r="F4" s="38">
        <v>0.0</v>
      </c>
      <c r="G4" s="38">
        <v>0.0</v>
      </c>
    </row>
    <row r="5">
      <c r="A5" s="1" t="s">
        <v>77</v>
      </c>
      <c r="B5" s="1" t="s">
        <v>74</v>
      </c>
      <c r="C5" s="1" t="s">
        <v>23</v>
      </c>
      <c r="D5" s="1" t="s">
        <v>38</v>
      </c>
      <c r="E5" s="1" t="s">
        <v>78</v>
      </c>
      <c r="F5" s="38">
        <v>0.0</v>
      </c>
      <c r="G5" s="38">
        <v>0.0</v>
      </c>
    </row>
    <row r="6">
      <c r="A6" s="1" t="s">
        <v>79</v>
      </c>
      <c r="B6" s="1" t="s">
        <v>74</v>
      </c>
      <c r="C6" s="1" t="s">
        <v>23</v>
      </c>
      <c r="D6" s="1" t="s">
        <v>46</v>
      </c>
      <c r="E6" s="1" t="s">
        <v>80</v>
      </c>
      <c r="F6" s="38">
        <v>1.0</v>
      </c>
      <c r="G6" s="38">
        <v>0.0</v>
      </c>
    </row>
    <row r="7">
      <c r="A7" s="1" t="s">
        <v>81</v>
      </c>
      <c r="B7" s="1" t="s">
        <v>45</v>
      </c>
      <c r="C7" s="1" t="s">
        <v>15</v>
      </c>
      <c r="D7" s="1" t="s">
        <v>45</v>
      </c>
      <c r="E7" s="1" t="s">
        <v>15</v>
      </c>
      <c r="F7" s="38">
        <v>1.0</v>
      </c>
      <c r="G7" s="38">
        <v>0.0</v>
      </c>
    </row>
    <row r="8">
      <c r="A8" s="1" t="s">
        <v>82</v>
      </c>
      <c r="B8" s="1" t="s">
        <v>45</v>
      </c>
      <c r="C8" s="1" t="s">
        <v>15</v>
      </c>
      <c r="D8" s="1" t="s">
        <v>45</v>
      </c>
      <c r="E8" s="1" t="s">
        <v>15</v>
      </c>
      <c r="F8" s="38">
        <v>1.0</v>
      </c>
      <c r="G8" s="38">
        <v>1.0</v>
      </c>
    </row>
    <row r="9">
      <c r="A9" s="1" t="s">
        <v>83</v>
      </c>
      <c r="B9" s="1" t="s">
        <v>45</v>
      </c>
      <c r="C9" s="1" t="s">
        <v>15</v>
      </c>
      <c r="D9" s="1" t="s">
        <v>45</v>
      </c>
      <c r="E9" s="1" t="s">
        <v>15</v>
      </c>
      <c r="F9" s="38">
        <v>0.0</v>
      </c>
      <c r="G9" s="38">
        <v>0.0</v>
      </c>
    </row>
    <row r="10">
      <c r="A10" s="1" t="s">
        <v>84</v>
      </c>
      <c r="B10" s="1" t="s">
        <v>85</v>
      </c>
      <c r="C10" s="1" t="s">
        <v>19</v>
      </c>
      <c r="D10" s="1" t="s">
        <v>56</v>
      </c>
      <c r="E10" s="1" t="s">
        <v>23</v>
      </c>
      <c r="F10" s="38">
        <v>1.0</v>
      </c>
      <c r="G10" s="38">
        <v>1.0</v>
      </c>
    </row>
    <row r="11">
      <c r="A11" s="1" t="s">
        <v>86</v>
      </c>
      <c r="B11" s="1" t="s">
        <v>85</v>
      </c>
      <c r="C11" s="1" t="s">
        <v>19</v>
      </c>
      <c r="D11" s="1" t="s">
        <v>55</v>
      </c>
      <c r="E11" s="1" t="s">
        <v>80</v>
      </c>
      <c r="F11" s="38">
        <v>1.0</v>
      </c>
      <c r="G11" s="38">
        <v>1.0</v>
      </c>
    </row>
    <row r="12">
      <c r="A12" s="1" t="s">
        <v>87</v>
      </c>
      <c r="B12" s="1" t="s">
        <v>85</v>
      </c>
      <c r="C12" s="1" t="s">
        <v>19</v>
      </c>
      <c r="D12" s="1" t="s">
        <v>54</v>
      </c>
      <c r="E12" s="1" t="s">
        <v>80</v>
      </c>
      <c r="F12" s="38">
        <v>1.0</v>
      </c>
      <c r="G12" s="38">
        <v>0.0</v>
      </c>
    </row>
    <row r="13">
      <c r="A13" s="1" t="s">
        <v>88</v>
      </c>
      <c r="B13" s="1" t="s">
        <v>85</v>
      </c>
      <c r="C13" s="1" t="s">
        <v>19</v>
      </c>
      <c r="D13" s="1" t="s">
        <v>38</v>
      </c>
      <c r="E13" s="1" t="s">
        <v>78</v>
      </c>
      <c r="F13" s="38">
        <v>1.0</v>
      </c>
      <c r="G13" s="38">
        <v>1.0</v>
      </c>
    </row>
    <row r="14">
      <c r="A14" s="1" t="s">
        <v>89</v>
      </c>
      <c r="B14" s="1" t="s">
        <v>85</v>
      </c>
      <c r="C14" s="1" t="s">
        <v>19</v>
      </c>
      <c r="D14" s="1" t="s">
        <v>43</v>
      </c>
      <c r="E14" s="1" t="s">
        <v>90</v>
      </c>
      <c r="F14" s="38">
        <v>1.0</v>
      </c>
      <c r="G14" s="38">
        <v>0.0</v>
      </c>
    </row>
    <row r="15">
      <c r="A15" s="1" t="s">
        <v>91</v>
      </c>
      <c r="B15" s="1" t="s">
        <v>85</v>
      </c>
      <c r="C15" s="1" t="s">
        <v>19</v>
      </c>
      <c r="D15" s="1" t="s">
        <v>53</v>
      </c>
      <c r="E15" s="1" t="s">
        <v>92</v>
      </c>
      <c r="F15" s="38">
        <v>1.0</v>
      </c>
      <c r="G15" s="38">
        <v>1.0</v>
      </c>
    </row>
    <row r="16">
      <c r="A16" s="1" t="s">
        <v>93</v>
      </c>
      <c r="B16" s="1" t="s">
        <v>85</v>
      </c>
      <c r="C16" s="1" t="s">
        <v>19</v>
      </c>
      <c r="D16" s="1" t="s">
        <v>57</v>
      </c>
      <c r="E16" s="1" t="s">
        <v>94</v>
      </c>
      <c r="F16" s="38">
        <v>1.0</v>
      </c>
      <c r="G16" s="38">
        <v>0.0</v>
      </c>
    </row>
    <row r="17">
      <c r="A17" s="1" t="s">
        <v>95</v>
      </c>
      <c r="B17" s="1" t="s">
        <v>85</v>
      </c>
      <c r="C17" s="1" t="s">
        <v>19</v>
      </c>
      <c r="D17" s="1" t="s">
        <v>42</v>
      </c>
      <c r="E17" s="1" t="s">
        <v>96</v>
      </c>
      <c r="F17" s="38">
        <v>1.0</v>
      </c>
      <c r="G17" s="38">
        <v>0.0</v>
      </c>
    </row>
    <row r="18">
      <c r="A18" s="1" t="s">
        <v>97</v>
      </c>
      <c r="B18" s="1" t="s">
        <v>85</v>
      </c>
      <c r="C18" s="1" t="s">
        <v>19</v>
      </c>
      <c r="D18" s="1" t="s">
        <v>49</v>
      </c>
      <c r="E18" s="1" t="s">
        <v>26</v>
      </c>
      <c r="F18" s="38">
        <v>0.0</v>
      </c>
      <c r="G18" s="38">
        <v>0.0</v>
      </c>
    </row>
    <row r="19">
      <c r="A19" s="1" t="s">
        <v>98</v>
      </c>
      <c r="B19" s="1" t="s">
        <v>85</v>
      </c>
      <c r="C19" s="1" t="s">
        <v>19</v>
      </c>
      <c r="D19" s="1" t="s">
        <v>44</v>
      </c>
      <c r="E19" s="1" t="s">
        <v>75</v>
      </c>
      <c r="F19" s="38">
        <v>1.0</v>
      </c>
      <c r="G19" s="38">
        <v>0.0</v>
      </c>
    </row>
    <row r="20">
      <c r="A20" s="1" t="s">
        <v>99</v>
      </c>
      <c r="B20" s="1" t="s">
        <v>51</v>
      </c>
      <c r="C20" s="1" t="s">
        <v>16</v>
      </c>
      <c r="D20" s="1" t="s">
        <v>44</v>
      </c>
      <c r="E20" s="1" t="s">
        <v>75</v>
      </c>
      <c r="F20" s="38">
        <v>0.0</v>
      </c>
      <c r="G20" s="38">
        <v>0.0</v>
      </c>
    </row>
    <row r="21">
      <c r="A21" s="1" t="s">
        <v>100</v>
      </c>
      <c r="B21" s="1" t="s">
        <v>51</v>
      </c>
      <c r="C21" s="1" t="s">
        <v>16</v>
      </c>
      <c r="D21" s="1" t="s">
        <v>40</v>
      </c>
      <c r="E21" s="1" t="s">
        <v>101</v>
      </c>
      <c r="F21" s="38">
        <v>0.0</v>
      </c>
      <c r="G21" s="38">
        <v>0.0</v>
      </c>
    </row>
    <row r="22">
      <c r="A22" s="1" t="s">
        <v>102</v>
      </c>
      <c r="B22" s="1" t="s">
        <v>51</v>
      </c>
      <c r="C22" s="1" t="s">
        <v>16</v>
      </c>
      <c r="D22" s="1" t="s">
        <v>59</v>
      </c>
      <c r="E22" s="1" t="s">
        <v>103</v>
      </c>
      <c r="F22" s="38">
        <v>1.0</v>
      </c>
      <c r="G22" s="38">
        <v>0.0</v>
      </c>
    </row>
    <row r="23">
      <c r="A23" s="1" t="s">
        <v>104</v>
      </c>
      <c r="B23" s="1" t="s">
        <v>51</v>
      </c>
      <c r="C23" s="1" t="s">
        <v>16</v>
      </c>
      <c r="D23" s="1" t="s">
        <v>60</v>
      </c>
      <c r="E23" s="1" t="s">
        <v>105</v>
      </c>
      <c r="F23" s="38">
        <v>1.0</v>
      </c>
      <c r="G23" s="38">
        <v>1.0</v>
      </c>
    </row>
    <row r="24">
      <c r="A24" s="1" t="s">
        <v>106</v>
      </c>
      <c r="B24" s="1" t="s">
        <v>45</v>
      </c>
      <c r="C24" s="1" t="s">
        <v>15</v>
      </c>
      <c r="D24" s="1" t="s">
        <v>51</v>
      </c>
      <c r="E24" s="1" t="s">
        <v>16</v>
      </c>
      <c r="F24" s="38">
        <v>1.0</v>
      </c>
      <c r="G24" s="38">
        <v>1.0</v>
      </c>
    </row>
    <row r="25">
      <c r="A25" s="1" t="s">
        <v>107</v>
      </c>
      <c r="B25" s="1" t="s">
        <v>45</v>
      </c>
      <c r="C25" s="1" t="s">
        <v>15</v>
      </c>
      <c r="D25" s="1" t="s">
        <v>52</v>
      </c>
      <c r="E25" s="1" t="s">
        <v>108</v>
      </c>
      <c r="F25" s="38">
        <v>1.0</v>
      </c>
      <c r="G25" s="38">
        <v>1.0</v>
      </c>
    </row>
    <row r="26">
      <c r="A26" s="1" t="s">
        <v>109</v>
      </c>
      <c r="B26" s="1" t="s">
        <v>45</v>
      </c>
      <c r="C26" s="1" t="s">
        <v>15</v>
      </c>
      <c r="D26" s="1" t="s">
        <v>42</v>
      </c>
      <c r="E26" s="1" t="s">
        <v>96</v>
      </c>
      <c r="F26" s="38">
        <v>0.0</v>
      </c>
      <c r="G26" s="38">
        <v>1.0</v>
      </c>
    </row>
    <row r="27">
      <c r="A27" s="1" t="s">
        <v>110</v>
      </c>
      <c r="B27" s="1" t="s">
        <v>51</v>
      </c>
      <c r="C27" s="1" t="s">
        <v>16</v>
      </c>
      <c r="D27" s="1" t="s">
        <v>40</v>
      </c>
      <c r="E27" s="1" t="s">
        <v>101</v>
      </c>
      <c r="F27" s="38">
        <v>0.0</v>
      </c>
      <c r="G27" s="38">
        <v>0.0</v>
      </c>
    </row>
    <row r="28">
      <c r="A28" s="1" t="s">
        <v>111</v>
      </c>
      <c r="B28" s="1" t="s">
        <v>51</v>
      </c>
      <c r="C28" s="1" t="s">
        <v>16</v>
      </c>
      <c r="D28" s="1" t="s">
        <v>45</v>
      </c>
      <c r="E28" s="1" t="s">
        <v>15</v>
      </c>
      <c r="F28" s="38">
        <v>0.0</v>
      </c>
      <c r="G28" s="38">
        <v>0.0</v>
      </c>
    </row>
    <row r="29">
      <c r="A29" s="1" t="s">
        <v>112</v>
      </c>
      <c r="B29" s="1" t="s">
        <v>51</v>
      </c>
      <c r="C29" s="1" t="s">
        <v>16</v>
      </c>
      <c r="D29" s="1" t="s">
        <v>57</v>
      </c>
      <c r="E29" s="1" t="s">
        <v>94</v>
      </c>
      <c r="F29" s="38">
        <v>1.0</v>
      </c>
      <c r="G29" s="38">
        <v>0.0</v>
      </c>
    </row>
    <row r="30">
      <c r="A30" s="1" t="s">
        <v>113</v>
      </c>
      <c r="B30" s="1" t="s">
        <v>51</v>
      </c>
      <c r="C30" s="1" t="s">
        <v>16</v>
      </c>
      <c r="D30" s="1" t="s">
        <v>49</v>
      </c>
      <c r="E30" s="1" t="s">
        <v>26</v>
      </c>
      <c r="F30" s="38">
        <v>1.0</v>
      </c>
      <c r="G30" s="38">
        <v>1.0</v>
      </c>
    </row>
    <row r="31">
      <c r="A31" s="1" t="s">
        <v>114</v>
      </c>
      <c r="B31" s="1" t="s">
        <v>51</v>
      </c>
      <c r="C31" s="1" t="s">
        <v>16</v>
      </c>
      <c r="D31" s="1" t="s">
        <v>61</v>
      </c>
      <c r="E31" s="1" t="s">
        <v>80</v>
      </c>
      <c r="F31" s="38">
        <v>0.0</v>
      </c>
      <c r="G31" s="38">
        <v>1.0</v>
      </c>
    </row>
    <row r="32">
      <c r="A32" s="1" t="s">
        <v>115</v>
      </c>
      <c r="B32" s="1" t="s">
        <v>51</v>
      </c>
      <c r="C32" s="1" t="s">
        <v>16</v>
      </c>
      <c r="D32" s="1" t="s">
        <v>42</v>
      </c>
      <c r="E32" s="1" t="s">
        <v>96</v>
      </c>
      <c r="F32" s="38">
        <v>0.0</v>
      </c>
      <c r="G32" s="38">
        <v>1.0</v>
      </c>
    </row>
    <row r="33">
      <c r="A33" s="1" t="s">
        <v>116</v>
      </c>
      <c r="B33" s="1" t="s">
        <v>51</v>
      </c>
      <c r="C33" s="1" t="s">
        <v>16</v>
      </c>
      <c r="D33" s="1" t="s">
        <v>62</v>
      </c>
      <c r="E33" s="1" t="s">
        <v>117</v>
      </c>
      <c r="F33" s="38">
        <v>1.0</v>
      </c>
      <c r="G33" s="38">
        <v>0.0</v>
      </c>
    </row>
    <row r="34">
      <c r="A34" s="1" t="s">
        <v>118</v>
      </c>
      <c r="B34" s="1" t="s">
        <v>51</v>
      </c>
      <c r="C34" s="1" t="s">
        <v>16</v>
      </c>
      <c r="D34" s="1" t="s">
        <v>39</v>
      </c>
      <c r="E34" s="1" t="s">
        <v>119</v>
      </c>
      <c r="F34" s="38">
        <v>1.0</v>
      </c>
      <c r="G34" s="38">
        <v>0.0</v>
      </c>
    </row>
    <row r="35">
      <c r="A35" s="1" t="s">
        <v>120</v>
      </c>
      <c r="B35" s="1" t="s">
        <v>51</v>
      </c>
      <c r="C35" s="1" t="s">
        <v>16</v>
      </c>
      <c r="D35" s="1" t="s">
        <v>49</v>
      </c>
      <c r="E35" s="1" t="s">
        <v>26</v>
      </c>
      <c r="F35" s="38">
        <v>0.0</v>
      </c>
      <c r="G35" s="38">
        <v>0.0</v>
      </c>
    </row>
    <row r="36">
      <c r="A36" s="1" t="s">
        <v>121</v>
      </c>
      <c r="B36" s="1" t="s">
        <v>51</v>
      </c>
      <c r="C36" s="1" t="s">
        <v>16</v>
      </c>
      <c r="D36" s="1" t="s">
        <v>49</v>
      </c>
      <c r="E36" s="1" t="s">
        <v>26</v>
      </c>
      <c r="F36" s="38">
        <v>1.0</v>
      </c>
      <c r="G36" s="38">
        <v>1.0</v>
      </c>
    </row>
    <row r="37">
      <c r="A37" s="1" t="s">
        <v>122</v>
      </c>
      <c r="B37" s="1" t="s">
        <v>51</v>
      </c>
      <c r="C37" s="1" t="s">
        <v>16</v>
      </c>
      <c r="D37" s="1" t="s">
        <v>63</v>
      </c>
      <c r="E37" s="1" t="s">
        <v>90</v>
      </c>
      <c r="F37" s="38">
        <v>1.0</v>
      </c>
      <c r="G37" s="38">
        <v>0.0</v>
      </c>
    </row>
    <row r="38">
      <c r="A38" s="1" t="s">
        <v>123</v>
      </c>
      <c r="B38" s="1" t="s">
        <v>45</v>
      </c>
      <c r="C38" s="1" t="s">
        <v>15</v>
      </c>
      <c r="D38" s="1" t="s">
        <v>48</v>
      </c>
      <c r="E38" s="1" t="s">
        <v>124</v>
      </c>
      <c r="F38" s="38">
        <v>1.0</v>
      </c>
      <c r="G38" s="38">
        <v>1.0</v>
      </c>
    </row>
    <row r="39">
      <c r="A39" s="1" t="s">
        <v>125</v>
      </c>
      <c r="B39" s="1" t="s">
        <v>45</v>
      </c>
      <c r="C39" s="1" t="s">
        <v>15</v>
      </c>
      <c r="D39" s="1" t="s">
        <v>48</v>
      </c>
      <c r="E39" s="1" t="s">
        <v>124</v>
      </c>
      <c r="F39" s="38">
        <v>1.0</v>
      </c>
      <c r="G39" s="38">
        <v>1.0</v>
      </c>
    </row>
    <row r="40">
      <c r="A40" s="1" t="s">
        <v>126</v>
      </c>
      <c r="B40" s="1" t="s">
        <v>49</v>
      </c>
      <c r="C40" s="1" t="s">
        <v>26</v>
      </c>
      <c r="D40" s="1" t="s">
        <v>42</v>
      </c>
      <c r="E40" s="1" t="s">
        <v>96</v>
      </c>
      <c r="F40" s="38">
        <v>1.0</v>
      </c>
      <c r="G40" s="38">
        <v>1.0</v>
      </c>
    </row>
    <row r="41">
      <c r="A41" s="1" t="s">
        <v>127</v>
      </c>
      <c r="B41" s="1" t="s">
        <v>45</v>
      </c>
      <c r="C41" s="1" t="s">
        <v>15</v>
      </c>
      <c r="D41" s="1" t="s">
        <v>42</v>
      </c>
      <c r="E41" s="1" t="s">
        <v>96</v>
      </c>
      <c r="F41" s="38">
        <v>1.0</v>
      </c>
      <c r="G41" s="38">
        <v>0.0</v>
      </c>
    </row>
    <row r="42">
      <c r="A42" s="1" t="s">
        <v>128</v>
      </c>
      <c r="B42" s="1" t="s">
        <v>45</v>
      </c>
      <c r="C42" s="1" t="s">
        <v>15</v>
      </c>
      <c r="D42" s="1" t="s">
        <v>42</v>
      </c>
      <c r="E42" s="1" t="s">
        <v>96</v>
      </c>
      <c r="F42" s="38">
        <v>1.0</v>
      </c>
      <c r="G42" s="38">
        <v>1.0</v>
      </c>
    </row>
    <row r="43">
      <c r="A43" s="1" t="s">
        <v>129</v>
      </c>
      <c r="B43" s="1" t="s">
        <v>45</v>
      </c>
      <c r="C43" s="1" t="s">
        <v>15</v>
      </c>
      <c r="D43" s="1" t="s">
        <v>42</v>
      </c>
      <c r="E43" s="1" t="s">
        <v>96</v>
      </c>
      <c r="F43" s="38">
        <v>1.0</v>
      </c>
      <c r="G43" s="38">
        <v>1.0</v>
      </c>
    </row>
    <row r="44">
      <c r="A44" s="1" t="s">
        <v>130</v>
      </c>
      <c r="B44" s="1" t="s">
        <v>51</v>
      </c>
      <c r="C44" s="1" t="s">
        <v>16</v>
      </c>
      <c r="D44" s="1" t="s">
        <v>42</v>
      </c>
      <c r="E44" s="1" t="s">
        <v>96</v>
      </c>
      <c r="F44" s="38">
        <v>0.0</v>
      </c>
      <c r="G44" s="38">
        <v>1.0</v>
      </c>
    </row>
    <row r="45">
      <c r="A45" s="1" t="s">
        <v>131</v>
      </c>
      <c r="B45" s="1" t="s">
        <v>51</v>
      </c>
      <c r="C45" s="1" t="s">
        <v>16</v>
      </c>
      <c r="D45" s="1" t="s">
        <v>64</v>
      </c>
      <c r="E45" s="1" t="s">
        <v>124</v>
      </c>
      <c r="F45" s="38">
        <v>0.0</v>
      </c>
      <c r="G45" s="38">
        <v>0.0</v>
      </c>
    </row>
    <row r="46">
      <c r="A46" s="1" t="s">
        <v>132</v>
      </c>
      <c r="B46" s="1" t="s">
        <v>45</v>
      </c>
      <c r="C46" s="1" t="s">
        <v>15</v>
      </c>
      <c r="D46" s="1" t="s">
        <v>47</v>
      </c>
      <c r="E46" s="1" t="s">
        <v>133</v>
      </c>
      <c r="F46" s="38">
        <v>1.0</v>
      </c>
      <c r="G46" s="38">
        <v>1.0</v>
      </c>
    </row>
    <row r="47">
      <c r="A47" s="1" t="s">
        <v>134</v>
      </c>
      <c r="B47" s="1" t="s">
        <v>45</v>
      </c>
      <c r="C47" s="1" t="s">
        <v>15</v>
      </c>
      <c r="D47" s="1" t="s">
        <v>53</v>
      </c>
      <c r="E47" s="1" t="s">
        <v>92</v>
      </c>
      <c r="F47" s="38">
        <v>1.0</v>
      </c>
      <c r="G47" s="38">
        <v>1.0</v>
      </c>
    </row>
    <row r="48">
      <c r="A48" s="1" t="s">
        <v>135</v>
      </c>
      <c r="B48" s="1" t="s">
        <v>45</v>
      </c>
      <c r="C48" s="1" t="s">
        <v>15</v>
      </c>
      <c r="D48" s="1" t="s">
        <v>47</v>
      </c>
      <c r="E48" s="1" t="s">
        <v>133</v>
      </c>
      <c r="F48" s="38">
        <v>1.0</v>
      </c>
      <c r="G48" s="38">
        <v>1.0</v>
      </c>
    </row>
    <row r="49">
      <c r="A49" s="1" t="s">
        <v>136</v>
      </c>
      <c r="B49" s="1" t="s">
        <v>45</v>
      </c>
      <c r="C49" s="1" t="s">
        <v>15</v>
      </c>
      <c r="D49" s="1" t="s">
        <v>40</v>
      </c>
      <c r="E49" s="1" t="s">
        <v>101</v>
      </c>
      <c r="F49" s="38">
        <v>1.0</v>
      </c>
      <c r="G49" s="38">
        <v>1.0</v>
      </c>
    </row>
    <row r="50">
      <c r="A50" s="1" t="s">
        <v>137</v>
      </c>
      <c r="B50" s="1" t="s">
        <v>45</v>
      </c>
      <c r="C50" s="1" t="s">
        <v>15</v>
      </c>
      <c r="D50" s="1" t="s">
        <v>45</v>
      </c>
      <c r="E50" s="1" t="s">
        <v>15</v>
      </c>
      <c r="F50" s="38">
        <v>1.0</v>
      </c>
      <c r="G50" s="38">
        <v>1.0</v>
      </c>
    </row>
    <row r="51">
      <c r="A51" s="1" t="s">
        <v>138</v>
      </c>
      <c r="B51" s="1" t="s">
        <v>45</v>
      </c>
      <c r="C51" s="1" t="s">
        <v>15</v>
      </c>
      <c r="D51" s="1" t="s">
        <v>45</v>
      </c>
      <c r="E51" s="1" t="s">
        <v>15</v>
      </c>
      <c r="F51" s="38">
        <v>0.0</v>
      </c>
      <c r="G51" s="38">
        <v>0.0</v>
      </c>
    </row>
    <row r="52">
      <c r="A52" s="1" t="s">
        <v>139</v>
      </c>
      <c r="B52" s="1" t="s">
        <v>45</v>
      </c>
      <c r="C52" s="1" t="s">
        <v>15</v>
      </c>
      <c r="D52" s="1" t="s">
        <v>49</v>
      </c>
      <c r="E52" s="1" t="s">
        <v>26</v>
      </c>
      <c r="F52" s="38">
        <v>0.0</v>
      </c>
      <c r="G52" s="38">
        <v>0.0</v>
      </c>
    </row>
    <row r="53">
      <c r="A53" s="1" t="s">
        <v>140</v>
      </c>
      <c r="B53" s="1" t="s">
        <v>45</v>
      </c>
      <c r="C53" s="1" t="s">
        <v>15</v>
      </c>
      <c r="D53" s="1" t="s">
        <v>49</v>
      </c>
      <c r="E53" s="1" t="s">
        <v>26</v>
      </c>
      <c r="F53" s="38">
        <v>1.0</v>
      </c>
      <c r="G53" s="38">
        <v>1.0</v>
      </c>
    </row>
    <row r="54">
      <c r="A54" s="1" t="s">
        <v>141</v>
      </c>
      <c r="B54" s="1" t="s">
        <v>45</v>
      </c>
      <c r="C54" s="1" t="s">
        <v>15</v>
      </c>
      <c r="D54" s="1" t="s">
        <v>50</v>
      </c>
      <c r="E54" s="1" t="s">
        <v>75</v>
      </c>
      <c r="F54" s="38">
        <v>1.0</v>
      </c>
      <c r="G54" s="38">
        <v>1.0</v>
      </c>
    </row>
    <row r="55">
      <c r="A55" s="1" t="s">
        <v>142</v>
      </c>
      <c r="B55" s="1" t="s">
        <v>45</v>
      </c>
      <c r="C55" s="1" t="s">
        <v>15</v>
      </c>
      <c r="D55" s="1" t="s">
        <v>47</v>
      </c>
      <c r="E55" s="1" t="s">
        <v>133</v>
      </c>
      <c r="F55" s="38">
        <v>1.0</v>
      </c>
      <c r="G55" s="38">
        <v>0.0</v>
      </c>
    </row>
    <row r="56">
      <c r="A56" s="1" t="s">
        <v>143</v>
      </c>
      <c r="B56" s="1" t="s">
        <v>45</v>
      </c>
      <c r="C56" s="1" t="s">
        <v>15</v>
      </c>
      <c r="D56" s="1" t="s">
        <v>50</v>
      </c>
      <c r="E56" s="1" t="s">
        <v>75</v>
      </c>
      <c r="F56" s="38">
        <v>1.0</v>
      </c>
      <c r="G56" s="38">
        <v>0.0</v>
      </c>
    </row>
    <row r="57">
      <c r="A57" s="1" t="s">
        <v>144</v>
      </c>
      <c r="B57" s="1" t="s">
        <v>45</v>
      </c>
      <c r="C57" s="1" t="s">
        <v>15</v>
      </c>
      <c r="D57" s="1" t="s">
        <v>54</v>
      </c>
      <c r="E57" s="1" t="s">
        <v>80</v>
      </c>
      <c r="F57" s="38">
        <v>1.0</v>
      </c>
      <c r="G57" s="38">
        <v>1.0</v>
      </c>
    </row>
    <row r="58">
      <c r="A58" s="1" t="s">
        <v>145</v>
      </c>
      <c r="B58" s="1" t="s">
        <v>45</v>
      </c>
      <c r="C58" s="1" t="s">
        <v>15</v>
      </c>
      <c r="D58" s="1" t="s">
        <v>55</v>
      </c>
      <c r="E58" s="1" t="s">
        <v>80</v>
      </c>
      <c r="F58" s="38">
        <v>1.0</v>
      </c>
      <c r="G58" s="38">
        <v>1.0</v>
      </c>
    </row>
    <row r="59">
      <c r="A59" s="1" t="s">
        <v>146</v>
      </c>
      <c r="B59" s="1" t="s">
        <v>49</v>
      </c>
      <c r="C59" s="1" t="s">
        <v>26</v>
      </c>
      <c r="D59" s="1" t="s">
        <v>43</v>
      </c>
      <c r="E59" s="1" t="s">
        <v>90</v>
      </c>
      <c r="F59" s="38">
        <v>0.0</v>
      </c>
      <c r="G59" s="38">
        <v>1.0</v>
      </c>
    </row>
    <row r="60">
      <c r="A60" s="1" t="s">
        <v>147</v>
      </c>
      <c r="B60" s="1" t="s">
        <v>37</v>
      </c>
      <c r="C60" s="1" t="s">
        <v>29</v>
      </c>
      <c r="D60" s="1" t="s">
        <v>39</v>
      </c>
      <c r="E60" s="1" t="s">
        <v>119</v>
      </c>
      <c r="F60" s="38">
        <v>1.0</v>
      </c>
      <c r="G60" s="38">
        <v>0.0</v>
      </c>
    </row>
    <row r="61">
      <c r="A61" s="1" t="s">
        <v>148</v>
      </c>
      <c r="B61" s="1" t="s">
        <v>85</v>
      </c>
      <c r="C61" s="1" t="s">
        <v>19</v>
      </c>
      <c r="D61" s="1" t="s">
        <v>58</v>
      </c>
      <c r="E61" s="1" t="s">
        <v>149</v>
      </c>
      <c r="F61" s="38">
        <v>1.0</v>
      </c>
      <c r="G61" s="38">
        <v>1.0</v>
      </c>
    </row>
    <row r="62">
      <c r="A62" s="1" t="s">
        <v>150</v>
      </c>
      <c r="B62" s="1" t="s">
        <v>151</v>
      </c>
      <c r="C62" s="1" t="s">
        <v>32</v>
      </c>
      <c r="D62" s="1" t="s">
        <v>38</v>
      </c>
      <c r="E62" s="1" t="s">
        <v>78</v>
      </c>
      <c r="F62" s="38">
        <v>0.0</v>
      </c>
      <c r="G62" s="38">
        <v>1.0</v>
      </c>
    </row>
    <row r="63">
      <c r="A63" s="1" t="s">
        <v>152</v>
      </c>
      <c r="B63" s="1" t="s">
        <v>37</v>
      </c>
      <c r="C63" s="1" t="s">
        <v>29</v>
      </c>
      <c r="D63" s="1" t="s">
        <v>40</v>
      </c>
      <c r="E63" s="1" t="s">
        <v>101</v>
      </c>
      <c r="F63" s="38">
        <v>0.0</v>
      </c>
      <c r="G63" s="38">
        <v>1.0</v>
      </c>
    </row>
    <row r="64">
      <c r="A64" s="1" t="s">
        <v>153</v>
      </c>
      <c r="B64" s="1" t="s">
        <v>154</v>
      </c>
      <c r="C64" s="1" t="s">
        <v>33</v>
      </c>
      <c r="D64" s="1" t="s">
        <v>37</v>
      </c>
      <c r="E64" s="1" t="s">
        <v>29</v>
      </c>
      <c r="F64" s="38">
        <v>1.0</v>
      </c>
      <c r="G64" s="38">
        <v>0.0</v>
      </c>
    </row>
  </sheetData>
  <drawing r:id="rId1"/>
</worksheet>
</file>
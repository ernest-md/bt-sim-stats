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hidden" name="RAW_MATCHES" sheetId="2" r:id="rId6"/>
    <sheet state="visible" name="RESUMEN" sheetId="3" r:id="rId7"/>
    <sheet state="visible" name="Vinsmoke Reiju (OP06-042)" sheetId="4" r:id="rId8"/>
    <sheet state="visible" name="Charlotte Pudding (OP08-058)" sheetId="5" r:id="rId9"/>
    <sheet state="visible" name="Sanji (OP12-041)" sheetId="6" r:id="rId10"/>
    <sheet state="visible" name="Foxy (OP07-059)" sheetId="7" r:id="rId11"/>
    <sheet state="visible" name="Crocodile (OP14-079)" sheetId="8" r:id="rId12"/>
    <sheet state="visible" name="Eustass&quot;Captain&quot;Kid (ST10-003)" sheetId="9" r:id="rId13"/>
    <sheet state="visible" name="Jinbe (OP11-021)" sheetId="10" r:id="rId14"/>
    <sheet state="visible" name="Charlotte Linlin (OP03-077)" sheetId="11" r:id="rId15"/>
    <sheet state="visible" name="Charlotte Katakuri (OP11-062)" sheetId="12" r:id="rId16"/>
  </sheets>
  <definedNames/>
  <calcPr/>
</workbook>
</file>

<file path=xl/sharedStrings.xml><?xml version="1.0" encoding="utf-8"?>
<sst xmlns="http://schemas.openxmlformats.org/spreadsheetml/2006/main" count="1261" uniqueCount="353">
  <si>
    <t>Nombre</t>
  </si>
  <si>
    <t>Inicio</t>
  </si>
  <si>
    <t>Fin</t>
  </si>
  <si>
    <t>OP14</t>
  </si>
  <si>
    <t>OP14 + EB03</t>
  </si>
  <si>
    <t>OP15</t>
  </si>
  <si>
    <t>Date</t>
  </si>
  <si>
    <t>Leader</t>
  </si>
  <si>
    <t>LeaderName</t>
  </si>
  <si>
    <t>OppLeader</t>
  </si>
  <si>
    <t>OppLeaderName</t>
  </si>
  <si>
    <t>Win</t>
  </si>
  <si>
    <t>First</t>
  </si>
  <si>
    <t>Wed, 18 Feb 2026 09:08:51 GMT</t>
  </si>
  <si>
    <t>OP12-041</t>
  </si>
  <si>
    <t>Sanji</t>
  </si>
  <si>
    <t>OP14-060</t>
  </si>
  <si>
    <t>Donquixote Doflamingo</t>
  </si>
  <si>
    <t>Wed, 18 Feb 2026 08:45:34 GMT</t>
  </si>
  <si>
    <t>OP11-041</t>
  </si>
  <si>
    <t>Nami</t>
  </si>
  <si>
    <t>Wed, 18 Feb 2026 08:39:26 GMT</t>
  </si>
  <si>
    <t>OP11-001</t>
  </si>
  <si>
    <t>Koby</t>
  </si>
  <si>
    <t>Wed, 18 Feb 2026 08:14:06 GMT</t>
  </si>
  <si>
    <t>ST29-001</t>
  </si>
  <si>
    <t>Monkey D. Luffy</t>
  </si>
  <si>
    <t>Wed, 18 Feb 2026 08:06:55 GMT</t>
  </si>
  <si>
    <t>Tue, 17 Feb 2026 13:30:48 GMT</t>
  </si>
  <si>
    <t>OP07-059</t>
  </si>
  <si>
    <t>Foxy</t>
  </si>
  <si>
    <t>Fri, 13 Feb 2026 11:07:26 GMT</t>
  </si>
  <si>
    <t>OP12-040</t>
  </si>
  <si>
    <t>Kuzan</t>
  </si>
  <si>
    <t>Fri, 13 Feb 2026 10:50:07 GMT</t>
  </si>
  <si>
    <t>OP14-041</t>
  </si>
  <si>
    <t>Boa Hancock</t>
  </si>
  <si>
    <t>Fri, 13 Feb 2026 09:56:30 GMT</t>
  </si>
  <si>
    <t>Thu, 12 Feb 2026 13:02:14 GMT</t>
  </si>
  <si>
    <t>OP14-079</t>
  </si>
  <si>
    <t>Crocodile</t>
  </si>
  <si>
    <t>OP11-040</t>
  </si>
  <si>
    <t>Monkey.D.Luffy</t>
  </si>
  <si>
    <t>Thu, 12 Feb 2026 12:09:06 GMT</t>
  </si>
  <si>
    <t>OP14-020</t>
  </si>
  <si>
    <t>Dracule Mihawk</t>
  </si>
  <si>
    <t>Thu, 12 Feb 2026 12:05:58 GMT</t>
  </si>
  <si>
    <t>Thu, 12 Feb 2026 08:20:29 GMT</t>
  </si>
  <si>
    <t>ST13-001</t>
  </si>
  <si>
    <t>Sabo</t>
  </si>
  <si>
    <t>Thu, 12 Feb 2026 08:00:34 GMT</t>
  </si>
  <si>
    <t>Thu, 12 Feb 2026 07:55:59 GMT</t>
  </si>
  <si>
    <t>Thu, 12 Feb 2026 07:45:32 GMT</t>
  </si>
  <si>
    <t>Wed, 11 Feb 2026 11:04:58 GMT</t>
  </si>
  <si>
    <t>OP14-080</t>
  </si>
  <si>
    <t>Gecko Moria</t>
  </si>
  <si>
    <t>Wed, 11 Feb 2026 10:56:52 GMT</t>
  </si>
  <si>
    <t>Wed, 11 Feb 2026 10:49:49 GMT</t>
  </si>
  <si>
    <t>Tue, 10 Feb 2026 12:02:36 GMT</t>
  </si>
  <si>
    <t>ST10-003</t>
  </si>
  <si>
    <t>Eustass"Captain"Kid</t>
  </si>
  <si>
    <t>Tue, 10 Feb 2026 11:43:25 GMT</t>
  </si>
  <si>
    <t>OP10-002</t>
  </si>
  <si>
    <t>Caesar Clown</t>
  </si>
  <si>
    <t>Tue, 10 Feb 2026 11:36:07 GMT</t>
  </si>
  <si>
    <t>Tue, 10 Feb 2026 11:31:37 GMT</t>
  </si>
  <si>
    <t>Tue, 10 Feb 2026 08:51:35 GMT</t>
  </si>
  <si>
    <t>Tue, 10 Feb 2026 07:09:29 GMT</t>
  </si>
  <si>
    <t>OP11-021</t>
  </si>
  <si>
    <t>Jinbe</t>
  </si>
  <si>
    <t>OP14-040</t>
  </si>
  <si>
    <t>Tue, 10 Feb 2026 06:59:57 GMT</t>
  </si>
  <si>
    <t>OP13-003</t>
  </si>
  <si>
    <t>Gol.D.Roger</t>
  </si>
  <si>
    <t>Mon, 09 Feb 2026 14:43:34 GMT</t>
  </si>
  <si>
    <t>Mon, 09 Feb 2026 14:34:37 GMT</t>
  </si>
  <si>
    <t>OP07-019</t>
  </si>
  <si>
    <t>Jewelry Bonney</t>
  </si>
  <si>
    <t>Mon, 09 Feb 2026 14:21:10 GMT</t>
  </si>
  <si>
    <t>OP09-081</t>
  </si>
  <si>
    <t>Marshall.D.Teach</t>
  </si>
  <si>
    <t>Mon, 09 Feb 2026 13:58:52 GMT</t>
  </si>
  <si>
    <t>Mon, 09 Feb 2026 13:42:43 GMT</t>
  </si>
  <si>
    <t>Mon, 09 Feb 2026 13:32:11 GMT</t>
  </si>
  <si>
    <t>Mon, 09 Feb 2026 11:15:46 GMT</t>
  </si>
  <si>
    <t>OP11-022</t>
  </si>
  <si>
    <t>Shirahoshi</t>
  </si>
  <si>
    <t>Mon, 09 Feb 2026 11:06:30 GMT</t>
  </si>
  <si>
    <t>EB02-010</t>
  </si>
  <si>
    <t>Mon, 09 Feb 2026 10:57:38 GMT</t>
  </si>
  <si>
    <t>OP13-100</t>
  </si>
  <si>
    <t>Mon, 09 Feb 2026 10:36:25 GMT</t>
  </si>
  <si>
    <t>OP13-004</t>
  </si>
  <si>
    <t>Mon, 09 Feb 2026 10:24:43 GMT</t>
  </si>
  <si>
    <t>Mon, 09 Feb 2026 10:14:58 GMT</t>
  </si>
  <si>
    <t>Mon, 09 Feb 2026 10:06:18 GMT</t>
  </si>
  <si>
    <t>OP06-022</t>
  </si>
  <si>
    <t>Yamato</t>
  </si>
  <si>
    <t>Mon, 09 Feb 2026 09:53:23 GMT</t>
  </si>
  <si>
    <t>Mon, 09 Feb 2026 09:43:07 GMT</t>
  </si>
  <si>
    <t>OP13-002</t>
  </si>
  <si>
    <t>Portgas.D.Ace</t>
  </si>
  <si>
    <t>Mon, 09 Feb 2026 08:22:07 GMT</t>
  </si>
  <si>
    <t>OP13-079</t>
  </si>
  <si>
    <t>Imu</t>
  </si>
  <si>
    <t>Fri, 06 Feb 2026 11:32:33 GMT</t>
  </si>
  <si>
    <t>ST13-002</t>
  </si>
  <si>
    <t>Fri, 06 Feb 2026 11:26:11 GMT</t>
  </si>
  <si>
    <t>Fri, 06 Feb 2026 10:50:59 GMT</t>
  </si>
  <si>
    <t>Fri, 06 Feb 2026 10:43:58 GMT</t>
  </si>
  <si>
    <t>Fri, 06 Feb 2026 06:55:51 GMT</t>
  </si>
  <si>
    <t>Fri, 06 Feb 2026 06:30:48 GMT</t>
  </si>
  <si>
    <t>Fri, 06 Feb 2026 06:18:27 GMT</t>
  </si>
  <si>
    <t>Fri, 06 Feb 2026 06:13:42 GMT</t>
  </si>
  <si>
    <t>Thu, 05 Feb 2026 15:16:58 GMT</t>
  </si>
  <si>
    <t>Thu, 05 Feb 2026 14:59:34 GMT</t>
  </si>
  <si>
    <t>Thu, 05 Feb 2026 14:48:08 GMT</t>
  </si>
  <si>
    <t>Thu, 05 Feb 2026 14:39:21 GMT</t>
  </si>
  <si>
    <t>Thu, 05 Feb 2026 14:20:54 GMT</t>
  </si>
  <si>
    <t>Thu, 05 Feb 2026 14:06:44 GMT</t>
  </si>
  <si>
    <t>OP09-042</t>
  </si>
  <si>
    <t>Buggy</t>
  </si>
  <si>
    <t>Thu, 05 Feb 2026 14:00:40 GMT</t>
  </si>
  <si>
    <t>EB01-001</t>
  </si>
  <si>
    <t>Kouzuki Oden</t>
  </si>
  <si>
    <t>Thu, 05 Feb 2026 13:47:39 GMT</t>
  </si>
  <si>
    <t>Thu, 05 Feb 2026 13:37:30 GMT</t>
  </si>
  <si>
    <t>Thu, 05 Feb 2026 12:05:13 GMT</t>
  </si>
  <si>
    <t>Thu, 05 Feb 2026 09:03:54 GMT</t>
  </si>
  <si>
    <t>Thu, 05 Feb 2026 08:43:03 GMT</t>
  </si>
  <si>
    <t>OP03-077</t>
  </si>
  <si>
    <t>Charlotte Linlin</t>
  </si>
  <si>
    <t>Thu, 05 Feb 2026 08:37:37 GMT</t>
  </si>
  <si>
    <t>Wed, 04 Feb 2026 12:21:30 GMT</t>
  </si>
  <si>
    <t>Wed, 04 Feb 2026 11:53:20 GMT</t>
  </si>
  <si>
    <t>Wed, 04 Feb 2026 11:42:53 GMT</t>
  </si>
  <si>
    <t>Wed, 04 Feb 2026 10:24:34 GMT</t>
  </si>
  <si>
    <t>Wed, 04 Feb 2026 10:17:18 GMT</t>
  </si>
  <si>
    <t>OP12-081</t>
  </si>
  <si>
    <t>Koala</t>
  </si>
  <si>
    <t>Wed, 04 Feb 2026 10:08:34 GMT</t>
  </si>
  <si>
    <t>Wed, 04 Feb 2026 10:00:45 GMT</t>
  </si>
  <si>
    <t>Wed, 04 Feb 2026 09:32:32 GMT</t>
  </si>
  <si>
    <t>Wed, 04 Feb 2026 08:59:46 GMT</t>
  </si>
  <si>
    <t>Wed, 04 Feb 2026 08:53:23 GMT</t>
  </si>
  <si>
    <t>Wed, 04 Feb 2026 08:26:29 GMT</t>
  </si>
  <si>
    <t>Tue, 03 Feb 2026 14:51:41 GMT</t>
  </si>
  <si>
    <t>Tue, 03 Feb 2026 14:46:19 GMT</t>
  </si>
  <si>
    <t>Tue, 03 Feb 2026 14:42:08 GMT</t>
  </si>
  <si>
    <t>Tue, 03 Feb 2026 08:00:17 GMT</t>
  </si>
  <si>
    <t>Mon, 02 Feb 2026 15:17:53 GMT</t>
  </si>
  <si>
    <t>Mon, 02 Feb 2026 15:02:41 GMT</t>
  </si>
  <si>
    <t>Mon, 02 Feb 2026 14:56:40 GMT</t>
  </si>
  <si>
    <t>OP14-001</t>
  </si>
  <si>
    <t>Trafalgar Law</t>
  </si>
  <si>
    <t>Mon, 02 Feb 2026 14:44:44 GMT</t>
  </si>
  <si>
    <t>Mon, 02 Feb 2026 14:30:52 GMT</t>
  </si>
  <si>
    <t>Mon, 02 Feb 2026 11:02:42 GMT</t>
  </si>
  <si>
    <t>Mon, 02 Feb 2026 08:19:55 GMT</t>
  </si>
  <si>
    <t>Fri, 30 Jan 2026 13:02:43 GMT</t>
  </si>
  <si>
    <t>OP11-062</t>
  </si>
  <si>
    <t>Charlotte Katakuri</t>
  </si>
  <si>
    <t>Fri, 30 Jan 2026 11:44:19 GMT</t>
  </si>
  <si>
    <t>Fri, 30 Jan 2026 11:39:18 GMT</t>
  </si>
  <si>
    <t>Fri, 30 Jan 2026 10:53:40 GMT</t>
  </si>
  <si>
    <t>Fri, 30 Jan 2026 06:56:14 GMT</t>
  </si>
  <si>
    <t>Fri, 30 Jan 2026 06:52:50 GMT</t>
  </si>
  <si>
    <t>Fri, 30 Jan 2026 06:42:53 GMT</t>
  </si>
  <si>
    <t>Fri, 30 Jan 2026 06:32:28 GMT</t>
  </si>
  <si>
    <t>Thu, 29 Jan 2026 14:54:09 GMT</t>
  </si>
  <si>
    <t>Thu, 29 Jan 2026 14:42:03 GMT</t>
  </si>
  <si>
    <t>Thu, 29 Jan 2026 13:58:19 GMT</t>
  </si>
  <si>
    <t>Thu, 29 Jan 2026 13:01:22 GMT</t>
  </si>
  <si>
    <t>Thu, 29 Jan 2026 11:35:19 GMT</t>
  </si>
  <si>
    <t>Thu, 29 Jan 2026 11:10:07 GMT</t>
  </si>
  <si>
    <t>Thu, 29 Jan 2026 10:40:51 GMT</t>
  </si>
  <si>
    <t>Thu, 29 Jan 2026 08:07:27 GMT</t>
  </si>
  <si>
    <t>Mon, 26 Jan 2026 15:16:41 GMT</t>
  </si>
  <si>
    <t>Mon, 26 Jan 2026 15:11:19 GMT</t>
  </si>
  <si>
    <t>Mon, 26 Jan 2026 14:39:42 GMT</t>
  </si>
  <si>
    <t>Mon, 26 Jan 2026 12:34:33 GMT</t>
  </si>
  <si>
    <t>Mon, 26 Jan 2026 07:49:41 GMT</t>
  </si>
  <si>
    <t>Fri, 23 Jan 2026 12:36:11 GMT</t>
  </si>
  <si>
    <t>OP04-058</t>
  </si>
  <si>
    <t>Fri, 23 Jan 2026 12:20:00 GMT</t>
  </si>
  <si>
    <t>Fri, 23 Jan 2026 11:14:52 GMT</t>
  </si>
  <si>
    <t>Fri, 23 Jan 2026 09:12:01 GMT</t>
  </si>
  <si>
    <t>Fri, 23 Jan 2026 09:01:59 GMT</t>
  </si>
  <si>
    <t>Fri, 23 Jan 2026 08:52:29 GMT</t>
  </si>
  <si>
    <t>Fri, 23 Jan 2026 08:38:38 GMT</t>
  </si>
  <si>
    <t>OP12-020</t>
  </si>
  <si>
    <t>Roronoa Zoro</t>
  </si>
  <si>
    <t>Fri, 23 Jan 2026 08:23:14 GMT</t>
  </si>
  <si>
    <t>Fri, 23 Jan 2026 06:28:17 GMT</t>
  </si>
  <si>
    <t>Fri, 23 Jan 2026 06:15:10 GMT</t>
  </si>
  <si>
    <t>Fri, 23 Jan 2026 06:03:50 GMT</t>
  </si>
  <si>
    <t>Thu, 22 Jan 2026 08:23:42 GMT</t>
  </si>
  <si>
    <t>Thu, 22 Jan 2026 08:09:48 GMT</t>
  </si>
  <si>
    <t>OP13-001</t>
  </si>
  <si>
    <t>Wed, 21 Jan 2026 13:49:02 GMT</t>
  </si>
  <si>
    <t>Wed, 21 Jan 2026 13:32:09 GMT</t>
  </si>
  <si>
    <t>Wed, 21 Jan 2026 13:25:04 GMT</t>
  </si>
  <si>
    <t>Tue, 20 Jan 2026 15:24:10 GMT</t>
  </si>
  <si>
    <t>ST04-001</t>
  </si>
  <si>
    <t>Kaido</t>
  </si>
  <si>
    <t>Tue, 20 Jan 2026 15:18:48 GMT</t>
  </si>
  <si>
    <t>Tue, 20 Jan 2026 15:11:20 GMT</t>
  </si>
  <si>
    <t>Tue, 20 Jan 2026 15:06:23 GMT</t>
  </si>
  <si>
    <t>Tue, 20 Jan 2026 14:34:09 GMT</t>
  </si>
  <si>
    <t>Tue, 20 Jan 2026 14:19:18 GMT</t>
  </si>
  <si>
    <t>Tue, 20 Jan 2026 14:11:39 GMT</t>
  </si>
  <si>
    <t>Tue, 20 Jan 2026 14:01:39 GMT</t>
  </si>
  <si>
    <t>ST11-001</t>
  </si>
  <si>
    <t>Uta</t>
  </si>
  <si>
    <t>Tue, 20 Jan 2026 13:48:58 GMT</t>
  </si>
  <si>
    <t>Tue, 20 Jan 2026 12:34:04 GMT</t>
  </si>
  <si>
    <t>Tue, 20 Jan 2026 12:09:47 GMT</t>
  </si>
  <si>
    <t>Tue, 20 Jan 2026 12:00:46 GMT</t>
  </si>
  <si>
    <t>Tue, 20 Jan 2026 11:40:28 GMT</t>
  </si>
  <si>
    <t>Tue, 20 Jan 2026 08:28:00 GMT</t>
  </si>
  <si>
    <t>Tue, 20 Jan 2026 07:50:08 GMT</t>
  </si>
  <si>
    <t>Mon, 19 Jan 2026 14:36:00 GMT</t>
  </si>
  <si>
    <t>Mon, 19 Jan 2026 13:38:11 GMT</t>
  </si>
  <si>
    <t>OP10-022</t>
  </si>
  <si>
    <t>Wed, 18 Feb 2026 14:56:56 GMT</t>
  </si>
  <si>
    <t>Tue, 17 Feb 2026 18:23:24 GMT</t>
  </si>
  <si>
    <t>EB03-001</t>
  </si>
  <si>
    <t>Nefeltari Vivi</t>
  </si>
  <si>
    <t>Tue, 17 Feb 2026 18:17:05 GMT</t>
  </si>
  <si>
    <t>Tue, 10 Feb 2026 20:42:54 GMT</t>
  </si>
  <si>
    <t>Tue, 10 Feb 2026 20:33:37 GMT</t>
  </si>
  <si>
    <t>Tue, 10 Feb 2026 20:23:23 GMT</t>
  </si>
  <si>
    <t>Mon, 09 Feb 2026 20:00:08 GMT</t>
  </si>
  <si>
    <t>Mon, 09 Feb 2026 19:48:37 GMT</t>
  </si>
  <si>
    <t>Sun, 08 Feb 2026 16:03:49 GMT</t>
  </si>
  <si>
    <t>Sun, 08 Feb 2026 15:54:49 GMT</t>
  </si>
  <si>
    <t>Thu, 05 Feb 2026 20:52:01 GMT</t>
  </si>
  <si>
    <t>Thu, 05 Feb 2026 20:28:48 GMT</t>
  </si>
  <si>
    <t>Thu, 05 Feb 2026 20:12:17 GMT</t>
  </si>
  <si>
    <t>Sun, 01 Feb 2026 00:12:15 GMT</t>
  </si>
  <si>
    <t>Sun, 01 Feb 2026 00:03:19 GMT</t>
  </si>
  <si>
    <t>Thu, 29 Jan 2026 18:27:20 GMT</t>
  </si>
  <si>
    <t>Thu, 29 Jan 2026 18:22:00 GMT</t>
  </si>
  <si>
    <t>Thu, 29 Jan 2026 18:15:08 GMT</t>
  </si>
  <si>
    <t>Thu, 29 Jan 2026 18:05:59 GMT</t>
  </si>
  <si>
    <t>Thu, 29 Jan 2026 17:58:34 GMT</t>
  </si>
  <si>
    <t>Thu, 29 Jan 2026 17:52:48 GMT</t>
  </si>
  <si>
    <t>Thu, 29 Jan 2026 17:48:55 GMT</t>
  </si>
  <si>
    <t>Wed, 28 Jan 2026 19:54:49 GMT</t>
  </si>
  <si>
    <t>Sun, 25 Jan 2026 19:00:19 GMT</t>
  </si>
  <si>
    <t>Sat, 24 Jan 2026 17:34:07 GMT</t>
  </si>
  <si>
    <t>Sat, 24 Jan 2026 16:58:47 GMT</t>
  </si>
  <si>
    <t>Thu, 19 Feb 2026 11:54:06 GMT</t>
  </si>
  <si>
    <t>OP07-097</t>
  </si>
  <si>
    <t>Vegapunk</t>
  </si>
  <si>
    <t>Fri, 20 Feb 2026 10:26:02 GMT</t>
  </si>
  <si>
    <t>Fri, 20 Feb 2026 10:16:19 GMT</t>
  </si>
  <si>
    <t>Fri, 20 Feb 2026 10:09:35 GMT</t>
  </si>
  <si>
    <t>Fri, 20 Feb 2026 09:54:03 GMT</t>
  </si>
  <si>
    <t>OP10-003</t>
  </si>
  <si>
    <t>Sugar</t>
  </si>
  <si>
    <t>Fri, 20 Feb 2026 09:41:19 GMT</t>
  </si>
  <si>
    <t>Fri, 20 Feb 2026 09:31:27 GMT</t>
  </si>
  <si>
    <t>Fri, 20 Feb 2026 08:48:40 GMT</t>
  </si>
  <si>
    <t>Fri, 20 Feb 2026 07:49:00 GMT</t>
  </si>
  <si>
    <t>Fri, 20 Feb 2026 07:39:24 GMT</t>
  </si>
  <si>
    <t>Fri, 20 Feb 2026 11:59:03 GMT</t>
  </si>
  <si>
    <t>Fri, 20 Feb 2026 11:46:01 GMT</t>
  </si>
  <si>
    <t>Fri, 20 Feb 2026 12:19:12 GMT</t>
  </si>
  <si>
    <t>Fri, 20 Feb 2026 12:46:28 GMT</t>
  </si>
  <si>
    <t>Fri, 20 Feb 2026 12:38:32 GMT</t>
  </si>
  <si>
    <t>Mon, 23 Feb 2026 08:21:20 GMT</t>
  </si>
  <si>
    <t>OP08-057</t>
  </si>
  <si>
    <t>King</t>
  </si>
  <si>
    <t>Tue, 24 Feb 2026 08:55:46 GMT</t>
  </si>
  <si>
    <t>Wed, 25 Feb 2026 14:39:02 GMT</t>
  </si>
  <si>
    <t>OP08-058</t>
  </si>
  <si>
    <t>Charlotte Pudding</t>
  </si>
  <si>
    <t>Wed, 25 Feb 2026 14:32:06 GMT</t>
  </si>
  <si>
    <t>Wed, 25 Feb 2026 14:17:22 GMT</t>
  </si>
  <si>
    <t>Wed, 25 Feb 2026 12:25:57 GMT</t>
  </si>
  <si>
    <t>Wed, 25 Feb 2026 11:44:47 GMT</t>
  </si>
  <si>
    <t>OP08-021</t>
  </si>
  <si>
    <t>Carrot</t>
  </si>
  <si>
    <t>Wed, 25 Feb 2026 11:31:47 GMT</t>
  </si>
  <si>
    <t>Wed, 25 Feb 2026 10:41:01 GMT</t>
  </si>
  <si>
    <t>Wed, 25 Feb 2026 10:25:11 GMT</t>
  </si>
  <si>
    <t>Wed, 25 Feb 2026 10:19:50 GMT</t>
  </si>
  <si>
    <t>Wed, 25 Feb 2026 09:13:35 GMT</t>
  </si>
  <si>
    <t>Wed, 25 Feb 2026 08:55:07 GMT</t>
  </si>
  <si>
    <t>Wed, 25 Feb 2026 08:38:44 GMT</t>
  </si>
  <si>
    <t>Wed, 25 Feb 2026 08:21:57 GMT</t>
  </si>
  <si>
    <t>Thu, 26 Feb 2026 08:53:53 GMT</t>
  </si>
  <si>
    <t>OP06-042</t>
  </si>
  <si>
    <t>Vinsmoke Reiju</t>
  </si>
  <si>
    <t>Thu, 26 Feb 2026 08:43:24 GMT</t>
  </si>
  <si>
    <t>Thu, 26 Feb 2026 08:37:47 GMT</t>
  </si>
  <si>
    <t>OP09-062</t>
  </si>
  <si>
    <t>Nico Robin</t>
  </si>
  <si>
    <t>Thu, 26 Feb 2026 07:50:25 GMT</t>
  </si>
  <si>
    <t>Thu, 26 Feb 2026 10:59:03 GMT</t>
  </si>
  <si>
    <t>Thu, 26 Feb 2026 10:46:20 GMT</t>
  </si>
  <si>
    <t>Thu, 26 Feb 2026 10:34:37 GMT</t>
  </si>
  <si>
    <t>Thu, 26 Feb 2026 10:19:47 GMT</t>
  </si>
  <si>
    <t>P-117</t>
  </si>
  <si>
    <t>Thu, 26 Feb 2026 10:08:59 GMT</t>
  </si>
  <si>
    <t>Thu, 26 Feb 2026 09:52:47 GMT</t>
  </si>
  <si>
    <t>Thu, 26 Feb 2026 09:46:27 GMT</t>
  </si>
  <si>
    <t>Thu, 26 Feb 2026 09:19:48 GMT</t>
  </si>
  <si>
    <t>Thu, 26 Feb 2026 13:26:07 GMT</t>
  </si>
  <si>
    <t>Thu, 26 Feb 2026 13:14:56 GMT</t>
  </si>
  <si>
    <t>Thu, 26 Feb 2026 13:02:49 GMT</t>
  </si>
  <si>
    <t>Thu, 26 Feb 2026 12:48:13 GMT</t>
  </si>
  <si>
    <t>Thu, 26 Feb 2026 13:58:10 GMT</t>
  </si>
  <si>
    <t>OP06-021</t>
  </si>
  <si>
    <t>Perona</t>
  </si>
  <si>
    <t>Thu, 26 Feb 2026 13:50:57 GMT</t>
  </si>
  <si>
    <t>Thu, 26 Feb 2026 14:40:10 GMT</t>
  </si>
  <si>
    <t>Thu, 26 Feb 2026 14:26:12 GMT</t>
  </si>
  <si>
    <t>Thu, 26 Feb 2026 14:11:20 GMT</t>
  </si>
  <si>
    <t>Fri, 27 Feb 2026 06:24:20 GMT</t>
  </si>
  <si>
    <t>Fri, 27 Feb 2026 06:16:17 GMT</t>
  </si>
  <si>
    <t>Fri, 27 Feb 2026 06:04:33 GMT</t>
  </si>
  <si>
    <t>Fri, 27 Feb 2026 06:53:40 GMT</t>
  </si>
  <si>
    <t>Fri, 27 Feb 2026 06:40:41 GMT</t>
  </si>
  <si>
    <t>OP07-038</t>
  </si>
  <si>
    <t>Fri, 27 Feb 2026 06:33:05 GMT</t>
  </si>
  <si>
    <t>Fri, 27 Feb 2026 07:13:59 GMT</t>
  </si>
  <si>
    <t>Fri, 27 Feb 2026 09:24:15 GMT</t>
  </si>
  <si>
    <t>OP09-022</t>
  </si>
  <si>
    <t>Lim</t>
  </si>
  <si>
    <t>Image</t>
  </si>
  <si>
    <t>Partidas</t>
  </si>
  <si>
    <t>Victorias</t>
  </si>
  <si>
    <t>Derrotas</t>
  </si>
  <si>
    <t>WR</t>
  </si>
  <si>
    <t>Fav</t>
  </si>
  <si>
    <t>Desf</t>
  </si>
  <si>
    <t>EXPANSIÓN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</si>
  <si>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</si>
  <si>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</si>
  <si>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t>-</t>
  </si>
  <si>
    <r>
      <rPr>
        <rFont val="Arial"/>
        <color rgb="FF93C47D"/>
      </rPr>
      <t>VICTORIAS:</t>
    </r>
    <r>
      <rPr>
        <rFont val="Arial"/>
        <color theme="1"/>
      </rPr>
      <t xml:space="preserve"> 5
PARTIDAS: 10</t>
    </r>
  </si>
  <si>
    <r>
      <rPr>
        <rFont val="Arial"/>
        <color rgb="FFEA9999"/>
      </rPr>
      <t>DERROTAS:</t>
    </r>
    <r>
      <rPr>
        <rFont val="Arial"/>
        <color theme="1"/>
      </rPr>
      <t xml:space="preserve"> 5
PARTIDAS: 10</t>
    </r>
  </si>
  <si>
    <r>
      <rPr>
        <rFont val="Arial"/>
        <color rgb="FF93C47D"/>
      </rPr>
      <t>VICTORIAS:</t>
    </r>
    <r>
      <rPr>
        <rFont val="Arial"/>
        <color theme="1"/>
      </rPr>
      <t xml:space="preserve"> 4
PARTIDAS: 5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</si>
  <si>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2</t>
    </r>
  </si>
  <si>
    <r>
      <rPr>
        <rFont val="Arial"/>
        <color rgb="FF93C47D"/>
      </rPr>
      <t>VICTORIAS:</t>
    </r>
    <r>
      <rPr>
        <rFont val="Arial"/>
        <color theme="1"/>
      </rPr>
      <t xml:space="preserve"> 4
PARTIDAS: 6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</si>
  <si>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6</t>
    </r>
  </si>
  <si>
    <r>
      <rPr>
        <rFont val="Arial"/>
        <color rgb="FF93C47D"/>
      </rPr>
      <t>VICTORIAS:</t>
    </r>
    <r>
      <rPr>
        <rFont val="Arial"/>
        <color theme="1"/>
      </rPr>
      <t xml:space="preserve"> 4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</si>
  <si>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2</t>
    </r>
  </si>
  <si>
    <t>Rival</t>
  </si>
  <si>
    <t>1st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</si>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</sst>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0" fillId="0" fontId="1" numFmtId="1" xfId="0" applyFont="1" applyNumberFormat="1"/>
    <xf borderId="0" fillId="0" fontId="1" numFmtId="9" xfId="0" applyFont="1" applyNumberFormat="1"/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1.0</v>
      </c>
      <c r="G2" s="3">
        <v>1.0</v>
      </c>
    </row>
    <row r="3">
      <c r="A3" s="1" t="s">
        <v>18</v>
      </c>
      <c r="B3" s="1" t="s">
        <v>14</v>
      </c>
      <c r="C3" s="1" t="s">
        <v>15</v>
      </c>
      <c r="D3" s="1" t="s">
        <v>19</v>
      </c>
      <c r="E3" s="1" t="s">
        <v>20</v>
      </c>
      <c r="F3" s="3">
        <v>0.0</v>
      </c>
      <c r="G3" s="3">
        <v>1.0</v>
      </c>
    </row>
    <row r="4">
      <c r="A4" s="1" t="s">
        <v>21</v>
      </c>
      <c r="B4" s="1" t="s">
        <v>14</v>
      </c>
      <c r="C4" s="1" t="s">
        <v>15</v>
      </c>
      <c r="D4" s="1" t="s">
        <v>22</v>
      </c>
      <c r="E4" s="1" t="s">
        <v>23</v>
      </c>
      <c r="F4" s="3">
        <v>0.0</v>
      </c>
      <c r="G4" s="3">
        <v>0.0</v>
      </c>
    </row>
    <row r="5">
      <c r="A5" s="1" t="s">
        <v>24</v>
      </c>
      <c r="B5" s="1" t="s">
        <v>14</v>
      </c>
      <c r="C5" s="1" t="s">
        <v>15</v>
      </c>
      <c r="D5" s="1" t="s">
        <v>25</v>
      </c>
      <c r="E5" s="1" t="s">
        <v>26</v>
      </c>
      <c r="F5" s="3">
        <v>1.0</v>
      </c>
      <c r="G5" s="3">
        <v>0.0</v>
      </c>
    </row>
    <row r="6">
      <c r="A6" s="1" t="s">
        <v>27</v>
      </c>
      <c r="B6" s="1" t="s">
        <v>14</v>
      </c>
      <c r="C6" s="1" t="s">
        <v>15</v>
      </c>
      <c r="D6" s="1" t="s">
        <v>25</v>
      </c>
      <c r="E6" s="1" t="s">
        <v>26</v>
      </c>
      <c r="F6" s="3">
        <v>1.0</v>
      </c>
      <c r="G6" s="3">
        <v>1.0</v>
      </c>
    </row>
    <row r="7">
      <c r="A7" s="1" t="s">
        <v>28</v>
      </c>
      <c r="B7" s="1" t="s">
        <v>29</v>
      </c>
      <c r="C7" s="1" t="s">
        <v>30</v>
      </c>
      <c r="D7" s="1" t="s">
        <v>16</v>
      </c>
      <c r="E7" s="1" t="s">
        <v>17</v>
      </c>
      <c r="F7" s="3">
        <v>1.0</v>
      </c>
      <c r="G7" s="3">
        <v>0.0</v>
      </c>
    </row>
    <row r="8">
      <c r="A8" s="1" t="s">
        <v>31</v>
      </c>
      <c r="B8" s="1" t="s">
        <v>29</v>
      </c>
      <c r="C8" s="1" t="s">
        <v>30</v>
      </c>
      <c r="D8" s="1" t="s">
        <v>32</v>
      </c>
      <c r="E8" s="1" t="s">
        <v>33</v>
      </c>
      <c r="F8" s="3">
        <v>1.0</v>
      </c>
      <c r="G8" s="3">
        <v>0.0</v>
      </c>
    </row>
    <row r="9">
      <c r="A9" s="1" t="s">
        <v>34</v>
      </c>
      <c r="B9" s="1" t="s">
        <v>29</v>
      </c>
      <c r="C9" s="1" t="s">
        <v>30</v>
      </c>
      <c r="D9" s="1" t="s">
        <v>35</v>
      </c>
      <c r="E9" s="1" t="s">
        <v>36</v>
      </c>
      <c r="F9" s="3">
        <v>1.0</v>
      </c>
      <c r="G9" s="3">
        <v>0.0</v>
      </c>
    </row>
    <row r="10">
      <c r="A10" s="1" t="s">
        <v>37</v>
      </c>
      <c r="B10" s="1" t="s">
        <v>29</v>
      </c>
      <c r="C10" s="1" t="s">
        <v>30</v>
      </c>
      <c r="D10" s="1" t="s">
        <v>16</v>
      </c>
      <c r="E10" s="1" t="s">
        <v>17</v>
      </c>
      <c r="F10" s="3">
        <v>1.0</v>
      </c>
      <c r="G10" s="3">
        <v>0.0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3">
        <v>1.0</v>
      </c>
      <c r="G11" s="3">
        <v>1.0</v>
      </c>
    </row>
    <row r="12">
      <c r="A12" s="1" t="s">
        <v>43</v>
      </c>
      <c r="B12" s="1" t="s">
        <v>39</v>
      </c>
      <c r="C12" s="1" t="s">
        <v>40</v>
      </c>
      <c r="D12" s="1" t="s">
        <v>44</v>
      </c>
      <c r="E12" s="1" t="s">
        <v>45</v>
      </c>
      <c r="F12" s="3">
        <v>0.0</v>
      </c>
      <c r="G12" s="3">
        <v>1.0</v>
      </c>
    </row>
    <row r="13">
      <c r="A13" s="1" t="s">
        <v>46</v>
      </c>
      <c r="B13" s="1" t="s">
        <v>39</v>
      </c>
      <c r="C13" s="1" t="s">
        <v>40</v>
      </c>
      <c r="D13" s="1" t="s">
        <v>25</v>
      </c>
      <c r="E13" s="1" t="s">
        <v>26</v>
      </c>
      <c r="F13" s="3">
        <v>1.0</v>
      </c>
      <c r="G13" s="3">
        <v>1.0</v>
      </c>
    </row>
    <row r="14">
      <c r="A14" s="1" t="s">
        <v>47</v>
      </c>
      <c r="B14" s="1" t="s">
        <v>39</v>
      </c>
      <c r="C14" s="1" t="s">
        <v>40</v>
      </c>
      <c r="D14" s="1" t="s">
        <v>48</v>
      </c>
      <c r="E14" s="1" t="s">
        <v>49</v>
      </c>
      <c r="F14" s="3">
        <v>1.0</v>
      </c>
      <c r="G14" s="3">
        <v>0.0</v>
      </c>
    </row>
    <row r="15">
      <c r="A15" s="1" t="s">
        <v>50</v>
      </c>
      <c r="B15" s="1" t="s">
        <v>39</v>
      </c>
      <c r="C15" s="1" t="s">
        <v>40</v>
      </c>
      <c r="D15" s="1" t="s">
        <v>16</v>
      </c>
      <c r="E15" s="1" t="s">
        <v>17</v>
      </c>
      <c r="F15" s="3">
        <v>0.0</v>
      </c>
      <c r="G15" s="3">
        <v>1.0</v>
      </c>
    </row>
    <row r="16">
      <c r="A16" s="1" t="s">
        <v>51</v>
      </c>
      <c r="B16" s="1" t="s">
        <v>39</v>
      </c>
      <c r="C16" s="1" t="s">
        <v>40</v>
      </c>
      <c r="D16" s="1" t="s">
        <v>35</v>
      </c>
      <c r="E16" s="1" t="s">
        <v>36</v>
      </c>
      <c r="F16" s="3">
        <v>0.0</v>
      </c>
      <c r="G16" s="3">
        <v>1.0</v>
      </c>
    </row>
    <row r="17">
      <c r="A17" s="1" t="s">
        <v>52</v>
      </c>
      <c r="B17" s="1" t="s">
        <v>39</v>
      </c>
      <c r="C17" s="1" t="s">
        <v>40</v>
      </c>
      <c r="D17" s="1" t="s">
        <v>44</v>
      </c>
      <c r="E17" s="1" t="s">
        <v>45</v>
      </c>
      <c r="F17" s="3">
        <v>1.0</v>
      </c>
      <c r="G17" s="3">
        <v>0.0</v>
      </c>
    </row>
    <row r="18">
      <c r="A18" s="1" t="s">
        <v>53</v>
      </c>
      <c r="B18" s="1" t="s">
        <v>39</v>
      </c>
      <c r="C18" s="1" t="s">
        <v>40</v>
      </c>
      <c r="D18" s="1" t="s">
        <v>54</v>
      </c>
      <c r="E18" s="1" t="s">
        <v>55</v>
      </c>
      <c r="F18" s="3">
        <v>1.0</v>
      </c>
      <c r="G18" s="3">
        <v>0.0</v>
      </c>
    </row>
    <row r="19">
      <c r="A19" s="1" t="s">
        <v>56</v>
      </c>
      <c r="B19" s="1" t="s">
        <v>39</v>
      </c>
      <c r="C19" s="1" t="s">
        <v>40</v>
      </c>
      <c r="D19" s="1" t="s">
        <v>25</v>
      </c>
      <c r="E19" s="1" t="s">
        <v>26</v>
      </c>
      <c r="F19" s="3">
        <v>1.0</v>
      </c>
      <c r="G19" s="3">
        <v>1.0</v>
      </c>
    </row>
    <row r="20">
      <c r="A20" s="1" t="s">
        <v>57</v>
      </c>
      <c r="B20" s="1" t="s">
        <v>39</v>
      </c>
      <c r="C20" s="1" t="s">
        <v>40</v>
      </c>
      <c r="D20" s="1" t="s">
        <v>16</v>
      </c>
      <c r="E20" s="1" t="s">
        <v>17</v>
      </c>
      <c r="F20" s="3">
        <v>0.0</v>
      </c>
      <c r="G20" s="3">
        <v>1.0</v>
      </c>
    </row>
    <row r="21">
      <c r="A21" s="1" t="s">
        <v>58</v>
      </c>
      <c r="B21" s="1" t="s">
        <v>59</v>
      </c>
      <c r="C21" s="1" t="s">
        <v>60</v>
      </c>
      <c r="D21" s="1" t="s">
        <v>25</v>
      </c>
      <c r="E21" s="1" t="s">
        <v>26</v>
      </c>
      <c r="F21" s="3">
        <v>0.0</v>
      </c>
      <c r="G21" s="3">
        <v>1.0</v>
      </c>
    </row>
    <row r="22">
      <c r="A22" s="1" t="s">
        <v>61</v>
      </c>
      <c r="B22" s="1" t="s">
        <v>59</v>
      </c>
      <c r="C22" s="1" t="s">
        <v>60</v>
      </c>
      <c r="D22" s="1" t="s">
        <v>62</v>
      </c>
      <c r="E22" s="1" t="s">
        <v>63</v>
      </c>
      <c r="F22" s="3">
        <v>0.0</v>
      </c>
      <c r="G22" s="3">
        <v>1.0</v>
      </c>
    </row>
    <row r="23">
      <c r="A23" s="1" t="s">
        <v>64</v>
      </c>
      <c r="B23" s="1" t="s">
        <v>59</v>
      </c>
      <c r="C23" s="1" t="s">
        <v>60</v>
      </c>
      <c r="D23" s="1" t="s">
        <v>35</v>
      </c>
      <c r="E23" s="1" t="s">
        <v>36</v>
      </c>
      <c r="F23" s="3">
        <v>0.0</v>
      </c>
      <c r="G23" s="3">
        <v>0.0</v>
      </c>
    </row>
    <row r="24">
      <c r="A24" s="1" t="s">
        <v>65</v>
      </c>
      <c r="B24" s="1" t="s">
        <v>59</v>
      </c>
      <c r="C24" s="1" t="s">
        <v>60</v>
      </c>
      <c r="D24" s="1" t="s">
        <v>44</v>
      </c>
      <c r="E24" s="1" t="s">
        <v>45</v>
      </c>
      <c r="F24" s="3">
        <v>0.0</v>
      </c>
      <c r="G24" s="3">
        <v>0.0</v>
      </c>
    </row>
    <row r="25">
      <c r="A25" s="1" t="s">
        <v>66</v>
      </c>
      <c r="B25" s="1" t="s">
        <v>39</v>
      </c>
      <c r="C25" s="1" t="s">
        <v>40</v>
      </c>
      <c r="D25" s="1" t="s">
        <v>25</v>
      </c>
      <c r="E25" s="1" t="s">
        <v>26</v>
      </c>
      <c r="F25" s="3">
        <v>0.0</v>
      </c>
      <c r="G25" s="3">
        <v>0.0</v>
      </c>
    </row>
    <row r="26">
      <c r="A26" s="1" t="s">
        <v>67</v>
      </c>
      <c r="B26" s="1" t="s">
        <v>68</v>
      </c>
      <c r="C26" s="1" t="s">
        <v>69</v>
      </c>
      <c r="D26" s="1" t="s">
        <v>70</v>
      </c>
      <c r="E26" s="1" t="s">
        <v>69</v>
      </c>
      <c r="F26" s="3">
        <v>0.0</v>
      </c>
      <c r="G26" s="3">
        <v>0.0</v>
      </c>
    </row>
    <row r="27">
      <c r="A27" s="1" t="s">
        <v>71</v>
      </c>
      <c r="B27" s="1" t="s">
        <v>68</v>
      </c>
      <c r="C27" s="1" t="s">
        <v>69</v>
      </c>
      <c r="D27" s="1" t="s">
        <v>72</v>
      </c>
      <c r="E27" s="1" t="s">
        <v>73</v>
      </c>
      <c r="F27" s="3">
        <v>1.0</v>
      </c>
      <c r="G27" s="3">
        <v>0.0</v>
      </c>
    </row>
    <row r="28">
      <c r="A28" s="1" t="s">
        <v>74</v>
      </c>
      <c r="B28" s="1" t="s">
        <v>68</v>
      </c>
      <c r="C28" s="1" t="s">
        <v>69</v>
      </c>
      <c r="D28" s="1" t="s">
        <v>70</v>
      </c>
      <c r="E28" s="1" t="s">
        <v>69</v>
      </c>
      <c r="F28" s="3">
        <v>0.0</v>
      </c>
      <c r="G28" s="3">
        <v>0.0</v>
      </c>
    </row>
    <row r="29">
      <c r="A29" s="1" t="s">
        <v>75</v>
      </c>
      <c r="B29" s="1" t="s">
        <v>68</v>
      </c>
      <c r="C29" s="1" t="s">
        <v>69</v>
      </c>
      <c r="D29" s="1" t="s">
        <v>76</v>
      </c>
      <c r="E29" s="1" t="s">
        <v>77</v>
      </c>
      <c r="F29" s="3">
        <v>1.0</v>
      </c>
      <c r="G29" s="3">
        <v>0.0</v>
      </c>
    </row>
    <row r="30">
      <c r="A30" s="1" t="s">
        <v>78</v>
      </c>
      <c r="B30" s="1" t="s">
        <v>68</v>
      </c>
      <c r="C30" s="1" t="s">
        <v>69</v>
      </c>
      <c r="D30" s="1" t="s">
        <v>79</v>
      </c>
      <c r="E30" s="1" t="s">
        <v>80</v>
      </c>
      <c r="F30" s="3">
        <v>0.0</v>
      </c>
      <c r="G30" s="3">
        <v>1.0</v>
      </c>
    </row>
    <row r="31">
      <c r="A31" s="1" t="s">
        <v>81</v>
      </c>
      <c r="B31" s="1" t="s">
        <v>68</v>
      </c>
      <c r="C31" s="1" t="s">
        <v>69</v>
      </c>
      <c r="D31" s="1" t="s">
        <v>39</v>
      </c>
      <c r="E31" s="1" t="s">
        <v>40</v>
      </c>
      <c r="F31" s="3">
        <v>1.0</v>
      </c>
      <c r="G31" s="3">
        <v>1.0</v>
      </c>
    </row>
    <row r="32">
      <c r="A32" s="1" t="s">
        <v>82</v>
      </c>
      <c r="B32" s="1" t="s">
        <v>68</v>
      </c>
      <c r="C32" s="1" t="s">
        <v>69</v>
      </c>
      <c r="D32" s="1" t="s">
        <v>41</v>
      </c>
      <c r="E32" s="1" t="s">
        <v>42</v>
      </c>
      <c r="F32" s="3">
        <v>0.0</v>
      </c>
      <c r="G32" s="3">
        <v>0.0</v>
      </c>
    </row>
    <row r="33">
      <c r="A33" s="1" t="s">
        <v>83</v>
      </c>
      <c r="B33" s="1" t="s">
        <v>68</v>
      </c>
      <c r="C33" s="1" t="s">
        <v>69</v>
      </c>
      <c r="D33" s="1" t="s">
        <v>44</v>
      </c>
      <c r="E33" s="1" t="s">
        <v>45</v>
      </c>
      <c r="F33" s="3">
        <v>1.0</v>
      </c>
      <c r="G33" s="3">
        <v>1.0</v>
      </c>
    </row>
    <row r="34">
      <c r="A34" s="1" t="s">
        <v>84</v>
      </c>
      <c r="B34" s="1" t="s">
        <v>68</v>
      </c>
      <c r="C34" s="1" t="s">
        <v>69</v>
      </c>
      <c r="D34" s="1" t="s">
        <v>85</v>
      </c>
      <c r="E34" s="1" t="s">
        <v>86</v>
      </c>
      <c r="F34" s="3">
        <v>1.0</v>
      </c>
      <c r="G34" s="3">
        <v>0.0</v>
      </c>
    </row>
    <row r="35">
      <c r="A35" s="1" t="s">
        <v>87</v>
      </c>
      <c r="B35" s="1" t="s">
        <v>68</v>
      </c>
      <c r="C35" s="1" t="s">
        <v>69</v>
      </c>
      <c r="D35" s="1" t="s">
        <v>88</v>
      </c>
      <c r="E35" s="1" t="s">
        <v>42</v>
      </c>
      <c r="F35" s="3">
        <v>1.0</v>
      </c>
      <c r="G35" s="3">
        <v>0.0</v>
      </c>
    </row>
    <row r="36">
      <c r="A36" s="1" t="s">
        <v>89</v>
      </c>
      <c r="B36" s="1" t="s">
        <v>68</v>
      </c>
      <c r="C36" s="1" t="s">
        <v>69</v>
      </c>
      <c r="D36" s="1" t="s">
        <v>90</v>
      </c>
      <c r="E36" s="1" t="s">
        <v>77</v>
      </c>
      <c r="F36" s="3">
        <v>1.0</v>
      </c>
      <c r="G36" s="3">
        <v>1.0</v>
      </c>
    </row>
    <row r="37">
      <c r="A37" s="1" t="s">
        <v>91</v>
      </c>
      <c r="B37" s="1" t="s">
        <v>68</v>
      </c>
      <c r="C37" s="1" t="s">
        <v>69</v>
      </c>
      <c r="D37" s="1" t="s">
        <v>92</v>
      </c>
      <c r="E37" s="1" t="s">
        <v>49</v>
      </c>
      <c r="F37" s="3">
        <v>1.0</v>
      </c>
      <c r="G37" s="3">
        <v>1.0</v>
      </c>
    </row>
    <row r="38">
      <c r="A38" s="1" t="s">
        <v>93</v>
      </c>
      <c r="B38" s="1" t="s">
        <v>68</v>
      </c>
      <c r="C38" s="1" t="s">
        <v>69</v>
      </c>
      <c r="D38" s="1" t="s">
        <v>44</v>
      </c>
      <c r="E38" s="1" t="s">
        <v>45</v>
      </c>
      <c r="F38" s="3">
        <v>1.0</v>
      </c>
      <c r="G38" s="3">
        <v>1.0</v>
      </c>
    </row>
    <row r="39">
      <c r="A39" s="1" t="s">
        <v>94</v>
      </c>
      <c r="B39" s="1" t="s">
        <v>68</v>
      </c>
      <c r="C39" s="1" t="s">
        <v>69</v>
      </c>
      <c r="D39" s="1" t="s">
        <v>25</v>
      </c>
      <c r="E39" s="1" t="s">
        <v>26</v>
      </c>
      <c r="F39" s="3">
        <v>0.0</v>
      </c>
      <c r="G39" s="3">
        <v>0.0</v>
      </c>
    </row>
    <row r="40">
      <c r="A40" s="1" t="s">
        <v>95</v>
      </c>
      <c r="B40" s="1" t="s">
        <v>68</v>
      </c>
      <c r="C40" s="1" t="s">
        <v>69</v>
      </c>
      <c r="D40" s="1" t="s">
        <v>96</v>
      </c>
      <c r="E40" s="1" t="s">
        <v>97</v>
      </c>
      <c r="F40" s="3">
        <v>1.0</v>
      </c>
      <c r="G40" s="3">
        <v>1.0</v>
      </c>
    </row>
    <row r="41">
      <c r="A41" s="1" t="s">
        <v>98</v>
      </c>
      <c r="B41" s="1" t="s">
        <v>68</v>
      </c>
      <c r="C41" s="1" t="s">
        <v>69</v>
      </c>
      <c r="D41" s="1" t="s">
        <v>72</v>
      </c>
      <c r="E41" s="1" t="s">
        <v>73</v>
      </c>
      <c r="F41" s="3">
        <v>0.0</v>
      </c>
      <c r="G41" s="3">
        <v>0.0</v>
      </c>
    </row>
    <row r="42">
      <c r="A42" s="1" t="s">
        <v>99</v>
      </c>
      <c r="B42" s="1" t="s">
        <v>68</v>
      </c>
      <c r="C42" s="1" t="s">
        <v>69</v>
      </c>
      <c r="D42" s="1" t="s">
        <v>100</v>
      </c>
      <c r="E42" s="1" t="s">
        <v>101</v>
      </c>
      <c r="F42" s="3">
        <v>0.0</v>
      </c>
      <c r="G42" s="3">
        <v>0.0</v>
      </c>
    </row>
    <row r="43">
      <c r="A43" s="1" t="s">
        <v>102</v>
      </c>
      <c r="B43" s="1" t="s">
        <v>68</v>
      </c>
      <c r="C43" s="1" t="s">
        <v>69</v>
      </c>
      <c r="D43" s="1" t="s">
        <v>103</v>
      </c>
      <c r="E43" s="1" t="s">
        <v>104</v>
      </c>
      <c r="F43" s="3">
        <v>0.0</v>
      </c>
      <c r="G43" s="3">
        <v>0.0</v>
      </c>
    </row>
    <row r="44">
      <c r="A44" s="1" t="s">
        <v>105</v>
      </c>
      <c r="B44" s="1" t="s">
        <v>68</v>
      </c>
      <c r="C44" s="1" t="s">
        <v>69</v>
      </c>
      <c r="D44" s="1" t="s">
        <v>106</v>
      </c>
      <c r="E44" s="1" t="s">
        <v>101</v>
      </c>
      <c r="F44" s="3">
        <v>0.0</v>
      </c>
      <c r="G44" s="3">
        <v>0.0</v>
      </c>
    </row>
    <row r="45">
      <c r="A45" s="1" t="s">
        <v>107</v>
      </c>
      <c r="B45" s="1" t="s">
        <v>68</v>
      </c>
      <c r="C45" s="1" t="s">
        <v>69</v>
      </c>
      <c r="D45" s="1" t="s">
        <v>103</v>
      </c>
      <c r="E45" s="1" t="s">
        <v>104</v>
      </c>
      <c r="F45" s="3">
        <v>0.0</v>
      </c>
      <c r="G45" s="3">
        <v>1.0</v>
      </c>
    </row>
    <row r="46">
      <c r="A46" s="1" t="s">
        <v>108</v>
      </c>
      <c r="B46" s="1" t="s">
        <v>68</v>
      </c>
      <c r="C46" s="1" t="s">
        <v>69</v>
      </c>
      <c r="D46" s="1" t="s">
        <v>44</v>
      </c>
      <c r="E46" s="1" t="s">
        <v>45</v>
      </c>
      <c r="F46" s="3">
        <v>1.0</v>
      </c>
      <c r="G46" s="3">
        <v>0.0</v>
      </c>
    </row>
    <row r="47">
      <c r="A47" s="1" t="s">
        <v>109</v>
      </c>
      <c r="B47" s="1" t="s">
        <v>68</v>
      </c>
      <c r="C47" s="1" t="s">
        <v>69</v>
      </c>
      <c r="D47" s="1" t="s">
        <v>16</v>
      </c>
      <c r="E47" s="1" t="s">
        <v>17</v>
      </c>
      <c r="F47" s="3">
        <v>1.0</v>
      </c>
      <c r="G47" s="3">
        <v>0.0</v>
      </c>
    </row>
    <row r="48">
      <c r="A48" s="1" t="s">
        <v>110</v>
      </c>
      <c r="B48" s="1" t="s">
        <v>68</v>
      </c>
      <c r="C48" s="1" t="s">
        <v>69</v>
      </c>
      <c r="D48" s="1" t="s">
        <v>103</v>
      </c>
      <c r="E48" s="1" t="s">
        <v>104</v>
      </c>
      <c r="F48" s="3">
        <v>0.0</v>
      </c>
      <c r="G48" s="3">
        <v>0.0</v>
      </c>
    </row>
    <row r="49">
      <c r="A49" s="1" t="s">
        <v>110</v>
      </c>
      <c r="B49" s="1" t="s">
        <v>68</v>
      </c>
      <c r="C49" s="1" t="s">
        <v>69</v>
      </c>
      <c r="D49" s="1" t="s">
        <v>103</v>
      </c>
      <c r="E49" s="1" t="s">
        <v>104</v>
      </c>
      <c r="F49" s="3">
        <v>0.0</v>
      </c>
      <c r="G49" s="3">
        <v>0.0</v>
      </c>
    </row>
    <row r="50">
      <c r="A50" s="1" t="s">
        <v>111</v>
      </c>
      <c r="B50" s="1" t="s">
        <v>68</v>
      </c>
      <c r="C50" s="1" t="s">
        <v>69</v>
      </c>
      <c r="D50" s="1" t="s">
        <v>16</v>
      </c>
      <c r="E50" s="1" t="s">
        <v>17</v>
      </c>
      <c r="F50" s="3">
        <v>0.0</v>
      </c>
      <c r="G50" s="3">
        <v>1.0</v>
      </c>
    </row>
    <row r="51">
      <c r="A51" s="1" t="s">
        <v>111</v>
      </c>
      <c r="B51" s="1" t="s">
        <v>68</v>
      </c>
      <c r="C51" s="1" t="s">
        <v>69</v>
      </c>
      <c r="D51" s="1" t="s">
        <v>16</v>
      </c>
      <c r="E51" s="1" t="s">
        <v>17</v>
      </c>
      <c r="F51" s="3">
        <v>0.0</v>
      </c>
      <c r="G51" s="3">
        <v>1.0</v>
      </c>
    </row>
    <row r="52">
      <c r="A52" s="1" t="s">
        <v>112</v>
      </c>
      <c r="B52" s="1" t="s">
        <v>68</v>
      </c>
      <c r="C52" s="1" t="s">
        <v>69</v>
      </c>
      <c r="D52" s="1" t="s">
        <v>25</v>
      </c>
      <c r="E52" s="1" t="s">
        <v>26</v>
      </c>
      <c r="F52" s="3">
        <v>0.0</v>
      </c>
      <c r="G52" s="3">
        <v>1.0</v>
      </c>
    </row>
    <row r="53">
      <c r="A53" s="1" t="s">
        <v>113</v>
      </c>
      <c r="B53" s="1" t="s">
        <v>68</v>
      </c>
      <c r="C53" s="1" t="s">
        <v>69</v>
      </c>
      <c r="D53" s="1" t="s">
        <v>25</v>
      </c>
      <c r="E53" s="1" t="s">
        <v>26</v>
      </c>
      <c r="F53" s="3">
        <v>0.0</v>
      </c>
      <c r="G53" s="3">
        <v>1.0</v>
      </c>
    </row>
    <row r="54">
      <c r="A54" s="1" t="s">
        <v>114</v>
      </c>
      <c r="B54" s="1" t="s">
        <v>68</v>
      </c>
      <c r="C54" s="1" t="s">
        <v>69</v>
      </c>
      <c r="D54" s="1" t="s">
        <v>39</v>
      </c>
      <c r="E54" s="1" t="s">
        <v>40</v>
      </c>
      <c r="F54" s="3">
        <v>1.0</v>
      </c>
      <c r="G54" s="3">
        <v>0.0</v>
      </c>
    </row>
    <row r="55">
      <c r="A55" s="1" t="s">
        <v>115</v>
      </c>
      <c r="B55" s="1" t="s">
        <v>68</v>
      </c>
      <c r="C55" s="1" t="s">
        <v>69</v>
      </c>
      <c r="D55" s="1" t="s">
        <v>44</v>
      </c>
      <c r="E55" s="1" t="s">
        <v>45</v>
      </c>
      <c r="F55" s="3">
        <v>1.0</v>
      </c>
      <c r="G55" s="3">
        <v>0.0</v>
      </c>
    </row>
    <row r="56">
      <c r="A56" s="1" t="s">
        <v>116</v>
      </c>
      <c r="B56" s="1" t="s">
        <v>68</v>
      </c>
      <c r="C56" s="1" t="s">
        <v>69</v>
      </c>
      <c r="D56" s="1" t="s">
        <v>25</v>
      </c>
      <c r="E56" s="1" t="s">
        <v>26</v>
      </c>
      <c r="F56" s="3">
        <v>0.0</v>
      </c>
      <c r="G56" s="3">
        <v>1.0</v>
      </c>
    </row>
    <row r="57">
      <c r="A57" s="1" t="s">
        <v>117</v>
      </c>
      <c r="B57" s="1" t="s">
        <v>68</v>
      </c>
      <c r="C57" s="1" t="s">
        <v>69</v>
      </c>
      <c r="D57" s="1" t="s">
        <v>25</v>
      </c>
      <c r="E57" s="1" t="s">
        <v>26</v>
      </c>
      <c r="F57" s="3">
        <v>1.0</v>
      </c>
      <c r="G57" s="3">
        <v>1.0</v>
      </c>
    </row>
    <row r="58">
      <c r="A58" s="1" t="s">
        <v>118</v>
      </c>
      <c r="B58" s="1" t="s">
        <v>29</v>
      </c>
      <c r="C58" s="1" t="s">
        <v>30</v>
      </c>
      <c r="D58" s="1" t="s">
        <v>103</v>
      </c>
      <c r="E58" s="1" t="s">
        <v>104</v>
      </c>
      <c r="F58" s="3">
        <v>0.0</v>
      </c>
      <c r="G58" s="3">
        <v>0.0</v>
      </c>
    </row>
    <row r="59">
      <c r="A59" s="1" t="s">
        <v>119</v>
      </c>
      <c r="B59" s="1" t="s">
        <v>29</v>
      </c>
      <c r="C59" s="1" t="s">
        <v>30</v>
      </c>
      <c r="D59" s="1" t="s">
        <v>120</v>
      </c>
      <c r="E59" s="1" t="s">
        <v>121</v>
      </c>
      <c r="F59" s="3">
        <v>1.0</v>
      </c>
      <c r="G59" s="3">
        <v>0.0</v>
      </c>
    </row>
    <row r="60">
      <c r="A60" s="1" t="s">
        <v>122</v>
      </c>
      <c r="B60" s="1" t="s">
        <v>29</v>
      </c>
      <c r="C60" s="1" t="s">
        <v>30</v>
      </c>
      <c r="D60" s="1" t="s">
        <v>123</v>
      </c>
      <c r="E60" s="1" t="s">
        <v>124</v>
      </c>
      <c r="F60" s="3">
        <v>1.0</v>
      </c>
      <c r="G60" s="3">
        <v>1.0</v>
      </c>
    </row>
    <row r="61">
      <c r="A61" s="1" t="s">
        <v>125</v>
      </c>
      <c r="B61" s="1" t="s">
        <v>29</v>
      </c>
      <c r="C61" s="1" t="s">
        <v>30</v>
      </c>
      <c r="D61" s="1" t="s">
        <v>39</v>
      </c>
      <c r="E61" s="1" t="s">
        <v>40</v>
      </c>
      <c r="F61" s="3">
        <v>0.0</v>
      </c>
      <c r="G61" s="3">
        <v>1.0</v>
      </c>
    </row>
    <row r="62">
      <c r="A62" s="1" t="s">
        <v>126</v>
      </c>
      <c r="B62" s="1" t="s">
        <v>29</v>
      </c>
      <c r="C62" s="1" t="s">
        <v>30</v>
      </c>
      <c r="D62" s="1" t="s">
        <v>44</v>
      </c>
      <c r="E62" s="1" t="s">
        <v>45</v>
      </c>
      <c r="F62" s="3">
        <v>0.0</v>
      </c>
      <c r="G62" s="3">
        <v>1.0</v>
      </c>
    </row>
    <row r="63">
      <c r="A63" s="1" t="s">
        <v>127</v>
      </c>
      <c r="B63" s="1" t="s">
        <v>29</v>
      </c>
      <c r="C63" s="1" t="s">
        <v>30</v>
      </c>
      <c r="D63" s="1" t="s">
        <v>25</v>
      </c>
      <c r="E63" s="1" t="s">
        <v>26</v>
      </c>
      <c r="F63" s="3">
        <v>1.0</v>
      </c>
      <c r="G63" s="3">
        <v>1.0</v>
      </c>
    </row>
    <row r="64">
      <c r="A64" s="1" t="s">
        <v>128</v>
      </c>
      <c r="B64" s="1" t="s">
        <v>14</v>
      </c>
      <c r="C64" s="1" t="s">
        <v>15</v>
      </c>
      <c r="D64" s="1" t="s">
        <v>44</v>
      </c>
      <c r="E64" s="1" t="s">
        <v>45</v>
      </c>
      <c r="F64" s="3">
        <v>0.0</v>
      </c>
      <c r="G64" s="3">
        <v>1.0</v>
      </c>
    </row>
    <row r="65">
      <c r="A65" s="1" t="s">
        <v>129</v>
      </c>
      <c r="B65" s="1" t="s">
        <v>130</v>
      </c>
      <c r="C65" s="1" t="s">
        <v>131</v>
      </c>
      <c r="D65" s="1" t="s">
        <v>35</v>
      </c>
      <c r="E65" s="1" t="s">
        <v>36</v>
      </c>
      <c r="F65" s="3">
        <v>1.0</v>
      </c>
      <c r="G65" s="3">
        <v>0.0</v>
      </c>
    </row>
    <row r="66">
      <c r="A66" s="1" t="s">
        <v>132</v>
      </c>
      <c r="B66" s="1" t="s">
        <v>130</v>
      </c>
      <c r="C66" s="1" t="s">
        <v>131</v>
      </c>
      <c r="D66" s="1" t="s">
        <v>25</v>
      </c>
      <c r="E66" s="1" t="s">
        <v>26</v>
      </c>
      <c r="F66" s="3">
        <v>0.0</v>
      </c>
      <c r="G66" s="3">
        <v>1.0</v>
      </c>
    </row>
    <row r="67">
      <c r="A67" s="1" t="s">
        <v>133</v>
      </c>
      <c r="B67" s="1" t="s">
        <v>29</v>
      </c>
      <c r="C67" s="1" t="s">
        <v>30</v>
      </c>
      <c r="D67" s="1" t="s">
        <v>103</v>
      </c>
      <c r="E67" s="1" t="s">
        <v>104</v>
      </c>
      <c r="F67" s="3">
        <v>0.0</v>
      </c>
      <c r="G67" s="3">
        <v>1.0</v>
      </c>
    </row>
    <row r="68">
      <c r="A68" s="1" t="s">
        <v>134</v>
      </c>
      <c r="B68" s="1" t="s">
        <v>29</v>
      </c>
      <c r="C68" s="1" t="s">
        <v>30</v>
      </c>
      <c r="D68" s="1" t="s">
        <v>103</v>
      </c>
      <c r="E68" s="1" t="s">
        <v>104</v>
      </c>
      <c r="F68" s="3">
        <v>1.0</v>
      </c>
      <c r="G68" s="3">
        <v>0.0</v>
      </c>
    </row>
    <row r="69">
      <c r="A69" s="1" t="s">
        <v>135</v>
      </c>
      <c r="B69" s="1" t="s">
        <v>29</v>
      </c>
      <c r="C69" s="1" t="s">
        <v>30</v>
      </c>
      <c r="D69" s="1" t="s">
        <v>103</v>
      </c>
      <c r="E69" s="1" t="s">
        <v>104</v>
      </c>
      <c r="F69" s="3">
        <v>1.0</v>
      </c>
      <c r="G69" s="3">
        <v>0.0</v>
      </c>
    </row>
    <row r="70">
      <c r="A70" s="1" t="s">
        <v>136</v>
      </c>
      <c r="B70" s="1" t="s">
        <v>59</v>
      </c>
      <c r="C70" s="1" t="s">
        <v>60</v>
      </c>
      <c r="D70" s="1" t="s">
        <v>76</v>
      </c>
      <c r="E70" s="1" t="s">
        <v>77</v>
      </c>
      <c r="F70" s="3">
        <v>0.0</v>
      </c>
      <c r="G70" s="3">
        <v>0.0</v>
      </c>
    </row>
    <row r="71">
      <c r="A71" s="1" t="s">
        <v>137</v>
      </c>
      <c r="B71" s="1" t="s">
        <v>59</v>
      </c>
      <c r="C71" s="1" t="s">
        <v>60</v>
      </c>
      <c r="D71" s="1" t="s">
        <v>138</v>
      </c>
      <c r="E71" s="1" t="s">
        <v>139</v>
      </c>
      <c r="F71" s="3">
        <v>0.0</v>
      </c>
      <c r="G71" s="3">
        <v>0.0</v>
      </c>
    </row>
    <row r="72">
      <c r="A72" s="1" t="s">
        <v>140</v>
      </c>
      <c r="B72" s="1" t="s">
        <v>59</v>
      </c>
      <c r="C72" s="1" t="s">
        <v>60</v>
      </c>
      <c r="D72" s="1" t="s">
        <v>35</v>
      </c>
      <c r="E72" s="1" t="s">
        <v>36</v>
      </c>
      <c r="F72" s="3">
        <v>1.0</v>
      </c>
      <c r="G72" s="3">
        <v>0.0</v>
      </c>
    </row>
    <row r="73">
      <c r="A73" s="1" t="s">
        <v>141</v>
      </c>
      <c r="B73" s="1" t="s">
        <v>29</v>
      </c>
      <c r="C73" s="1" t="s">
        <v>30</v>
      </c>
      <c r="D73" s="1" t="s">
        <v>35</v>
      </c>
      <c r="E73" s="1" t="s">
        <v>36</v>
      </c>
      <c r="F73" s="3">
        <v>0.0</v>
      </c>
      <c r="G73" s="3">
        <v>1.0</v>
      </c>
    </row>
    <row r="74">
      <c r="A74" s="1" t="s">
        <v>142</v>
      </c>
      <c r="B74" s="1" t="s">
        <v>29</v>
      </c>
      <c r="C74" s="1" t="s">
        <v>30</v>
      </c>
      <c r="D74" s="1" t="s">
        <v>72</v>
      </c>
      <c r="E74" s="1" t="s">
        <v>73</v>
      </c>
      <c r="F74" s="3">
        <v>1.0</v>
      </c>
      <c r="G74" s="3">
        <v>1.0</v>
      </c>
    </row>
    <row r="75">
      <c r="A75" s="1" t="s">
        <v>143</v>
      </c>
      <c r="B75" s="1" t="s">
        <v>29</v>
      </c>
      <c r="C75" s="1" t="s">
        <v>30</v>
      </c>
      <c r="D75" s="1" t="s">
        <v>25</v>
      </c>
      <c r="E75" s="1" t="s">
        <v>26</v>
      </c>
      <c r="F75" s="3">
        <v>0.0</v>
      </c>
      <c r="G75" s="3">
        <v>0.0</v>
      </c>
    </row>
    <row r="76">
      <c r="A76" s="1" t="s">
        <v>144</v>
      </c>
      <c r="B76" s="1" t="s">
        <v>29</v>
      </c>
      <c r="C76" s="1" t="s">
        <v>30</v>
      </c>
      <c r="D76" s="1" t="s">
        <v>25</v>
      </c>
      <c r="E76" s="1" t="s">
        <v>26</v>
      </c>
      <c r="F76" s="3">
        <v>0.0</v>
      </c>
      <c r="G76" s="3">
        <v>1.0</v>
      </c>
    </row>
    <row r="77">
      <c r="A77" s="1" t="s">
        <v>145</v>
      </c>
      <c r="B77" s="1" t="s">
        <v>29</v>
      </c>
      <c r="C77" s="1" t="s">
        <v>30</v>
      </c>
      <c r="D77" s="1" t="s">
        <v>25</v>
      </c>
      <c r="E77" s="1" t="s">
        <v>26</v>
      </c>
      <c r="F77" s="3">
        <v>0.0</v>
      </c>
      <c r="G77" s="3">
        <v>0.0</v>
      </c>
    </row>
    <row r="78">
      <c r="A78" s="1" t="s">
        <v>146</v>
      </c>
      <c r="B78" s="1" t="s">
        <v>29</v>
      </c>
      <c r="C78" s="1" t="s">
        <v>30</v>
      </c>
      <c r="D78" s="1" t="s">
        <v>44</v>
      </c>
      <c r="E78" s="1" t="s">
        <v>45</v>
      </c>
      <c r="F78" s="3">
        <v>0.0</v>
      </c>
      <c r="G78" s="3">
        <v>0.0</v>
      </c>
    </row>
    <row r="79">
      <c r="A79" s="1" t="s">
        <v>147</v>
      </c>
      <c r="B79" s="1" t="s">
        <v>29</v>
      </c>
      <c r="C79" s="1" t="s">
        <v>30</v>
      </c>
      <c r="D79" s="1" t="s">
        <v>25</v>
      </c>
      <c r="E79" s="1" t="s">
        <v>26</v>
      </c>
      <c r="F79" s="3">
        <v>1.0</v>
      </c>
      <c r="G79" s="3">
        <v>1.0</v>
      </c>
    </row>
    <row r="80">
      <c r="A80" s="1" t="s">
        <v>148</v>
      </c>
      <c r="B80" s="1" t="s">
        <v>29</v>
      </c>
      <c r="C80" s="1" t="s">
        <v>30</v>
      </c>
      <c r="D80" s="1" t="s">
        <v>100</v>
      </c>
      <c r="E80" s="1" t="s">
        <v>101</v>
      </c>
      <c r="F80" s="3">
        <v>1.0</v>
      </c>
      <c r="G80" s="3">
        <v>1.0</v>
      </c>
    </row>
    <row r="81">
      <c r="A81" s="1" t="s">
        <v>149</v>
      </c>
      <c r="B81" s="1" t="s">
        <v>29</v>
      </c>
      <c r="C81" s="1" t="s">
        <v>30</v>
      </c>
      <c r="D81" s="1" t="s">
        <v>25</v>
      </c>
      <c r="E81" s="1" t="s">
        <v>26</v>
      </c>
      <c r="F81" s="3">
        <v>1.0</v>
      </c>
      <c r="G81" s="3">
        <v>1.0</v>
      </c>
    </row>
    <row r="82">
      <c r="A82" s="1" t="s">
        <v>150</v>
      </c>
      <c r="B82" s="1" t="s">
        <v>29</v>
      </c>
      <c r="C82" s="1" t="s">
        <v>30</v>
      </c>
      <c r="D82" s="1" t="s">
        <v>39</v>
      </c>
      <c r="E82" s="1" t="s">
        <v>40</v>
      </c>
      <c r="F82" s="3">
        <v>1.0</v>
      </c>
      <c r="G82" s="3">
        <v>0.0</v>
      </c>
    </row>
    <row r="83">
      <c r="A83" s="1" t="s">
        <v>151</v>
      </c>
      <c r="B83" s="1" t="s">
        <v>29</v>
      </c>
      <c r="C83" s="1" t="s">
        <v>30</v>
      </c>
      <c r="D83" s="1" t="s">
        <v>44</v>
      </c>
      <c r="E83" s="1" t="s">
        <v>45</v>
      </c>
      <c r="F83" s="3">
        <v>1.0</v>
      </c>
      <c r="G83" s="3">
        <v>0.0</v>
      </c>
    </row>
    <row r="84">
      <c r="A84" s="1" t="s">
        <v>152</v>
      </c>
      <c r="B84" s="1" t="s">
        <v>29</v>
      </c>
      <c r="C84" s="1" t="s">
        <v>30</v>
      </c>
      <c r="D84" s="1" t="s">
        <v>153</v>
      </c>
      <c r="E84" s="1" t="s">
        <v>154</v>
      </c>
      <c r="F84" s="3">
        <v>1.0</v>
      </c>
      <c r="G84" s="3">
        <v>0.0</v>
      </c>
    </row>
    <row r="85">
      <c r="A85" s="1" t="s">
        <v>155</v>
      </c>
      <c r="B85" s="1" t="s">
        <v>29</v>
      </c>
      <c r="C85" s="1" t="s">
        <v>30</v>
      </c>
      <c r="D85" s="1" t="s">
        <v>90</v>
      </c>
      <c r="E85" s="1" t="s">
        <v>77</v>
      </c>
      <c r="F85" s="3">
        <v>1.0</v>
      </c>
      <c r="G85" s="3">
        <v>1.0</v>
      </c>
    </row>
    <row r="86">
      <c r="A86" s="1" t="s">
        <v>156</v>
      </c>
      <c r="B86" s="1" t="s">
        <v>29</v>
      </c>
      <c r="C86" s="1" t="s">
        <v>30</v>
      </c>
      <c r="D86" s="1" t="s">
        <v>25</v>
      </c>
      <c r="E86" s="1" t="s">
        <v>26</v>
      </c>
      <c r="F86" s="3">
        <v>1.0</v>
      </c>
      <c r="G86" s="3">
        <v>0.0</v>
      </c>
    </row>
    <row r="87">
      <c r="A87" s="1" t="s">
        <v>157</v>
      </c>
      <c r="B87" s="1" t="s">
        <v>29</v>
      </c>
      <c r="C87" s="1" t="s">
        <v>30</v>
      </c>
      <c r="D87" s="1" t="s">
        <v>39</v>
      </c>
      <c r="E87" s="1" t="s">
        <v>40</v>
      </c>
      <c r="F87" s="3">
        <v>1.0</v>
      </c>
      <c r="G87" s="3">
        <v>1.0</v>
      </c>
    </row>
    <row r="88">
      <c r="A88" s="1" t="s">
        <v>158</v>
      </c>
      <c r="B88" s="1" t="s">
        <v>29</v>
      </c>
      <c r="C88" s="1" t="s">
        <v>30</v>
      </c>
      <c r="D88" s="1" t="s">
        <v>25</v>
      </c>
      <c r="E88" s="1" t="s">
        <v>26</v>
      </c>
      <c r="F88" s="3">
        <v>0.0</v>
      </c>
      <c r="G88" s="3">
        <v>1.0</v>
      </c>
    </row>
    <row r="89">
      <c r="A89" s="1" t="s">
        <v>159</v>
      </c>
      <c r="B89" s="1" t="s">
        <v>160</v>
      </c>
      <c r="C89" s="1" t="s">
        <v>161</v>
      </c>
      <c r="D89" s="1" t="s">
        <v>48</v>
      </c>
      <c r="E89" s="1" t="s">
        <v>49</v>
      </c>
      <c r="F89" s="3">
        <v>0.0</v>
      </c>
      <c r="G89" s="3">
        <v>0.0</v>
      </c>
    </row>
    <row r="90">
      <c r="A90" s="1" t="s">
        <v>162</v>
      </c>
      <c r="B90" s="1" t="s">
        <v>39</v>
      </c>
      <c r="C90" s="1" t="s">
        <v>40</v>
      </c>
      <c r="D90" s="1" t="s">
        <v>35</v>
      </c>
      <c r="E90" s="1" t="s">
        <v>36</v>
      </c>
      <c r="F90" s="3">
        <v>0.0</v>
      </c>
      <c r="G90" s="3">
        <v>1.0</v>
      </c>
    </row>
    <row r="91">
      <c r="A91" s="1" t="s">
        <v>163</v>
      </c>
      <c r="B91" s="1" t="s">
        <v>39</v>
      </c>
      <c r="C91" s="1" t="s">
        <v>40</v>
      </c>
      <c r="D91" s="1" t="s">
        <v>16</v>
      </c>
      <c r="E91" s="1" t="s">
        <v>17</v>
      </c>
      <c r="F91" s="3">
        <v>1.0</v>
      </c>
      <c r="G91" s="3">
        <v>1.0</v>
      </c>
    </row>
    <row r="92">
      <c r="A92" s="1" t="s">
        <v>164</v>
      </c>
      <c r="B92" s="1" t="s">
        <v>29</v>
      </c>
      <c r="C92" s="1" t="s">
        <v>30</v>
      </c>
      <c r="D92" s="1" t="s">
        <v>16</v>
      </c>
      <c r="E92" s="1" t="s">
        <v>17</v>
      </c>
      <c r="F92" s="3">
        <v>0.0</v>
      </c>
      <c r="G92" s="3">
        <v>0.0</v>
      </c>
    </row>
    <row r="93">
      <c r="A93" s="1" t="s">
        <v>165</v>
      </c>
      <c r="B93" s="1" t="s">
        <v>29</v>
      </c>
      <c r="C93" s="1" t="s">
        <v>30</v>
      </c>
      <c r="D93" s="1" t="s">
        <v>25</v>
      </c>
      <c r="E93" s="1" t="s">
        <v>26</v>
      </c>
      <c r="F93" s="3">
        <v>0.0</v>
      </c>
      <c r="G93" s="3">
        <v>0.0</v>
      </c>
    </row>
    <row r="94">
      <c r="A94" s="1" t="s">
        <v>166</v>
      </c>
      <c r="B94" s="1" t="s">
        <v>29</v>
      </c>
      <c r="C94" s="1" t="s">
        <v>30</v>
      </c>
      <c r="D94" s="1" t="s">
        <v>41</v>
      </c>
      <c r="E94" s="1" t="s">
        <v>42</v>
      </c>
      <c r="F94" s="3">
        <v>1.0</v>
      </c>
      <c r="G94" s="3">
        <v>1.0</v>
      </c>
    </row>
    <row r="95">
      <c r="A95" s="1" t="s">
        <v>167</v>
      </c>
      <c r="B95" s="1" t="s">
        <v>29</v>
      </c>
      <c r="C95" s="1" t="s">
        <v>30</v>
      </c>
      <c r="D95" s="1" t="s">
        <v>44</v>
      </c>
      <c r="E95" s="1" t="s">
        <v>45</v>
      </c>
      <c r="F95" s="3">
        <v>1.0</v>
      </c>
      <c r="G95" s="3">
        <v>0.0</v>
      </c>
    </row>
    <row r="96">
      <c r="A96" s="1" t="s">
        <v>168</v>
      </c>
      <c r="B96" s="1" t="s">
        <v>29</v>
      </c>
      <c r="C96" s="1" t="s">
        <v>30</v>
      </c>
      <c r="D96" s="1" t="s">
        <v>44</v>
      </c>
      <c r="E96" s="1" t="s">
        <v>45</v>
      </c>
      <c r="F96" s="3">
        <v>0.0</v>
      </c>
      <c r="G96" s="3">
        <v>0.0</v>
      </c>
    </row>
    <row r="97">
      <c r="A97" s="1" t="s">
        <v>169</v>
      </c>
      <c r="B97" s="1" t="s">
        <v>39</v>
      </c>
      <c r="C97" s="1" t="s">
        <v>40</v>
      </c>
      <c r="D97" s="1" t="s">
        <v>16</v>
      </c>
      <c r="E97" s="1" t="s">
        <v>17</v>
      </c>
      <c r="F97" s="3">
        <v>0.0</v>
      </c>
      <c r="G97" s="3">
        <v>1.0</v>
      </c>
    </row>
    <row r="98">
      <c r="A98" s="1" t="s">
        <v>170</v>
      </c>
      <c r="B98" s="1" t="s">
        <v>39</v>
      </c>
      <c r="C98" s="1" t="s">
        <v>40</v>
      </c>
      <c r="D98" s="1" t="s">
        <v>16</v>
      </c>
      <c r="E98" s="1" t="s">
        <v>17</v>
      </c>
      <c r="F98" s="3">
        <v>0.0</v>
      </c>
      <c r="G98" s="3">
        <v>0.0</v>
      </c>
    </row>
    <row r="99">
      <c r="A99" s="1" t="s">
        <v>171</v>
      </c>
      <c r="B99" s="1" t="s">
        <v>29</v>
      </c>
      <c r="C99" s="1" t="s">
        <v>30</v>
      </c>
      <c r="D99" s="1" t="s">
        <v>25</v>
      </c>
      <c r="E99" s="1" t="s">
        <v>26</v>
      </c>
      <c r="F99" s="3">
        <v>1.0</v>
      </c>
      <c r="G99" s="3">
        <v>1.0</v>
      </c>
    </row>
    <row r="100">
      <c r="A100" s="1" t="s">
        <v>172</v>
      </c>
      <c r="B100" s="1" t="s">
        <v>29</v>
      </c>
      <c r="C100" s="1" t="s">
        <v>30</v>
      </c>
      <c r="D100" s="1" t="s">
        <v>25</v>
      </c>
      <c r="E100" s="1" t="s">
        <v>26</v>
      </c>
      <c r="F100" s="3">
        <v>1.0</v>
      </c>
      <c r="G100" s="3">
        <v>1.0</v>
      </c>
    </row>
    <row r="101">
      <c r="A101" s="1" t="s">
        <v>173</v>
      </c>
      <c r="B101" s="1" t="s">
        <v>29</v>
      </c>
      <c r="C101" s="1" t="s">
        <v>30</v>
      </c>
      <c r="D101" s="1" t="s">
        <v>25</v>
      </c>
      <c r="E101" s="1" t="s">
        <v>26</v>
      </c>
      <c r="F101" s="3">
        <v>1.0</v>
      </c>
      <c r="G101" s="3">
        <v>0.0</v>
      </c>
    </row>
    <row r="102">
      <c r="A102" s="1" t="s">
        <v>174</v>
      </c>
      <c r="B102" s="1" t="s">
        <v>29</v>
      </c>
      <c r="C102" s="1" t="s">
        <v>30</v>
      </c>
      <c r="D102" s="1" t="s">
        <v>25</v>
      </c>
      <c r="E102" s="1" t="s">
        <v>26</v>
      </c>
      <c r="F102" s="3">
        <v>1.0</v>
      </c>
      <c r="G102" s="3">
        <v>1.0</v>
      </c>
    </row>
    <row r="103">
      <c r="A103" s="1" t="s">
        <v>175</v>
      </c>
      <c r="B103" s="1" t="s">
        <v>29</v>
      </c>
      <c r="C103" s="1" t="s">
        <v>30</v>
      </c>
      <c r="D103" s="1" t="s">
        <v>100</v>
      </c>
      <c r="E103" s="1" t="s">
        <v>101</v>
      </c>
      <c r="F103" s="3">
        <v>1.0</v>
      </c>
      <c r="G103" s="3">
        <v>1.0</v>
      </c>
    </row>
    <row r="104">
      <c r="A104" s="1" t="s">
        <v>176</v>
      </c>
      <c r="B104" s="1" t="s">
        <v>29</v>
      </c>
      <c r="C104" s="1" t="s">
        <v>30</v>
      </c>
      <c r="D104" s="1" t="s">
        <v>153</v>
      </c>
      <c r="E104" s="1" t="s">
        <v>154</v>
      </c>
      <c r="F104" s="3">
        <v>0.0</v>
      </c>
      <c r="G104" s="3">
        <v>0.0</v>
      </c>
    </row>
    <row r="105">
      <c r="A105" s="1" t="s">
        <v>177</v>
      </c>
      <c r="B105" s="1" t="s">
        <v>59</v>
      </c>
      <c r="C105" s="1" t="s">
        <v>60</v>
      </c>
      <c r="D105" s="1" t="s">
        <v>100</v>
      </c>
      <c r="E105" s="1" t="s">
        <v>101</v>
      </c>
      <c r="F105" s="3">
        <v>0.0</v>
      </c>
      <c r="G105" s="3">
        <v>0.0</v>
      </c>
    </row>
    <row r="106">
      <c r="A106" s="1" t="s">
        <v>178</v>
      </c>
      <c r="B106" s="1" t="s">
        <v>59</v>
      </c>
      <c r="C106" s="1" t="s">
        <v>60</v>
      </c>
      <c r="D106" s="1" t="s">
        <v>16</v>
      </c>
      <c r="E106" s="1" t="s">
        <v>17</v>
      </c>
      <c r="F106" s="3">
        <v>0.0</v>
      </c>
      <c r="G106" s="3">
        <v>0.0</v>
      </c>
    </row>
    <row r="107">
      <c r="A107" s="1" t="s">
        <v>179</v>
      </c>
      <c r="B107" s="1" t="s">
        <v>59</v>
      </c>
      <c r="C107" s="1" t="s">
        <v>60</v>
      </c>
      <c r="D107" s="1" t="s">
        <v>41</v>
      </c>
      <c r="E107" s="1" t="s">
        <v>42</v>
      </c>
      <c r="F107" s="3">
        <v>1.0</v>
      </c>
      <c r="G107" s="3">
        <v>0.0</v>
      </c>
    </row>
    <row r="108">
      <c r="A108" s="1" t="s">
        <v>180</v>
      </c>
      <c r="B108" s="1" t="s">
        <v>59</v>
      </c>
      <c r="C108" s="1" t="s">
        <v>60</v>
      </c>
      <c r="D108" s="1" t="s">
        <v>79</v>
      </c>
      <c r="E108" s="1" t="s">
        <v>80</v>
      </c>
      <c r="F108" s="3">
        <v>0.0</v>
      </c>
      <c r="G108" s="3">
        <v>0.0</v>
      </c>
    </row>
    <row r="109">
      <c r="A109" s="1" t="s">
        <v>181</v>
      </c>
      <c r="B109" s="1" t="s">
        <v>68</v>
      </c>
      <c r="C109" s="1" t="s">
        <v>69</v>
      </c>
      <c r="D109" s="1" t="s">
        <v>54</v>
      </c>
      <c r="E109" s="1" t="s">
        <v>55</v>
      </c>
      <c r="F109" s="3">
        <v>1.0</v>
      </c>
      <c r="G109" s="3">
        <v>1.0</v>
      </c>
    </row>
    <row r="110">
      <c r="A110" s="1" t="s">
        <v>182</v>
      </c>
      <c r="B110" s="1" t="s">
        <v>59</v>
      </c>
      <c r="C110" s="1" t="s">
        <v>60</v>
      </c>
      <c r="D110" s="1" t="s">
        <v>183</v>
      </c>
      <c r="E110" s="1" t="s">
        <v>40</v>
      </c>
      <c r="F110" s="3">
        <v>0.0</v>
      </c>
      <c r="G110" s="3">
        <v>1.0</v>
      </c>
    </row>
    <row r="111">
      <c r="A111" s="1" t="s">
        <v>184</v>
      </c>
      <c r="B111" s="1" t="s">
        <v>59</v>
      </c>
      <c r="C111" s="1" t="s">
        <v>60</v>
      </c>
      <c r="D111" s="1" t="s">
        <v>14</v>
      </c>
      <c r="E111" s="1" t="s">
        <v>15</v>
      </c>
      <c r="F111" s="3">
        <v>0.0</v>
      </c>
      <c r="G111" s="3">
        <v>0.0</v>
      </c>
    </row>
    <row r="112">
      <c r="A112" s="1" t="s">
        <v>185</v>
      </c>
      <c r="B112" s="1" t="s">
        <v>59</v>
      </c>
      <c r="C112" s="1" t="s">
        <v>60</v>
      </c>
      <c r="D112" s="1" t="s">
        <v>16</v>
      </c>
      <c r="E112" s="1" t="s">
        <v>17</v>
      </c>
      <c r="F112" s="3">
        <v>0.0</v>
      </c>
      <c r="G112" s="3">
        <v>1.0</v>
      </c>
    </row>
    <row r="113">
      <c r="A113" s="1" t="s">
        <v>186</v>
      </c>
      <c r="B113" s="1" t="s">
        <v>59</v>
      </c>
      <c r="C113" s="1" t="s">
        <v>60</v>
      </c>
      <c r="D113" s="1" t="s">
        <v>44</v>
      </c>
      <c r="E113" s="1" t="s">
        <v>45</v>
      </c>
      <c r="F113" s="3">
        <v>1.0</v>
      </c>
      <c r="G113" s="3">
        <v>0.0</v>
      </c>
    </row>
    <row r="114">
      <c r="A114" s="1" t="s">
        <v>187</v>
      </c>
      <c r="B114" s="1" t="s">
        <v>59</v>
      </c>
      <c r="C114" s="1" t="s">
        <v>60</v>
      </c>
      <c r="D114" s="1" t="s">
        <v>39</v>
      </c>
      <c r="E114" s="1" t="s">
        <v>40</v>
      </c>
      <c r="F114" s="3">
        <v>1.0</v>
      </c>
      <c r="G114" s="3">
        <v>0.0</v>
      </c>
    </row>
    <row r="115">
      <c r="A115" s="1" t="s">
        <v>188</v>
      </c>
      <c r="B115" s="1" t="s">
        <v>29</v>
      </c>
      <c r="C115" s="1" t="s">
        <v>30</v>
      </c>
      <c r="D115" s="1" t="s">
        <v>44</v>
      </c>
      <c r="E115" s="1" t="s">
        <v>45</v>
      </c>
      <c r="F115" s="3">
        <v>1.0</v>
      </c>
      <c r="G115" s="3">
        <v>0.0</v>
      </c>
    </row>
    <row r="116">
      <c r="A116" s="1" t="s">
        <v>189</v>
      </c>
      <c r="B116" s="1" t="s">
        <v>29</v>
      </c>
      <c r="C116" s="1" t="s">
        <v>30</v>
      </c>
      <c r="D116" s="1" t="s">
        <v>190</v>
      </c>
      <c r="E116" s="1" t="s">
        <v>191</v>
      </c>
      <c r="F116" s="3">
        <v>1.0</v>
      </c>
      <c r="G116" s="3">
        <v>0.0</v>
      </c>
    </row>
    <row r="117">
      <c r="A117" s="1" t="s">
        <v>192</v>
      </c>
      <c r="B117" s="1" t="s">
        <v>29</v>
      </c>
      <c r="C117" s="1" t="s">
        <v>30</v>
      </c>
      <c r="D117" s="1" t="s">
        <v>16</v>
      </c>
      <c r="E117" s="1" t="s">
        <v>17</v>
      </c>
      <c r="F117" s="3">
        <v>0.0</v>
      </c>
      <c r="G117" s="3">
        <v>1.0</v>
      </c>
    </row>
    <row r="118">
      <c r="A118" s="1" t="s">
        <v>193</v>
      </c>
      <c r="B118" s="1" t="s">
        <v>29</v>
      </c>
      <c r="C118" s="1" t="s">
        <v>30</v>
      </c>
      <c r="D118" s="1" t="s">
        <v>25</v>
      </c>
      <c r="E118" s="1" t="s">
        <v>26</v>
      </c>
      <c r="F118" s="3">
        <v>1.0</v>
      </c>
      <c r="G118" s="3">
        <v>0.0</v>
      </c>
    </row>
    <row r="119">
      <c r="A119" s="1" t="s">
        <v>194</v>
      </c>
      <c r="B119" s="1" t="s">
        <v>29</v>
      </c>
      <c r="C119" s="1" t="s">
        <v>30</v>
      </c>
      <c r="D119" s="1" t="s">
        <v>25</v>
      </c>
      <c r="E119" s="1" t="s">
        <v>26</v>
      </c>
      <c r="F119" s="3">
        <v>0.0</v>
      </c>
      <c r="G119" s="3">
        <v>0.0</v>
      </c>
    </row>
    <row r="120">
      <c r="A120" s="1" t="s">
        <v>195</v>
      </c>
      <c r="B120" s="1" t="s">
        <v>29</v>
      </c>
      <c r="C120" s="1" t="s">
        <v>30</v>
      </c>
      <c r="D120" s="1" t="s">
        <v>54</v>
      </c>
      <c r="E120" s="1" t="s">
        <v>55</v>
      </c>
      <c r="F120" s="3">
        <v>1.0</v>
      </c>
      <c r="G120" s="3">
        <v>0.0</v>
      </c>
    </row>
    <row r="121">
      <c r="A121" s="1" t="s">
        <v>196</v>
      </c>
      <c r="B121" s="1" t="s">
        <v>29</v>
      </c>
      <c r="C121" s="1" t="s">
        <v>30</v>
      </c>
      <c r="D121" s="1" t="s">
        <v>44</v>
      </c>
      <c r="E121" s="1" t="s">
        <v>45</v>
      </c>
      <c r="F121" s="3">
        <v>1.0</v>
      </c>
      <c r="G121" s="3">
        <v>0.0</v>
      </c>
    </row>
    <row r="122">
      <c r="A122" s="1" t="s">
        <v>197</v>
      </c>
      <c r="B122" s="1" t="s">
        <v>29</v>
      </c>
      <c r="C122" s="1" t="s">
        <v>30</v>
      </c>
      <c r="D122" s="1" t="s">
        <v>198</v>
      </c>
      <c r="E122" s="1" t="s">
        <v>42</v>
      </c>
      <c r="F122" s="3">
        <v>1.0</v>
      </c>
      <c r="G122" s="3">
        <v>0.0</v>
      </c>
    </row>
    <row r="123">
      <c r="A123" s="1" t="s">
        <v>199</v>
      </c>
      <c r="B123" s="1" t="s">
        <v>29</v>
      </c>
      <c r="C123" s="1" t="s">
        <v>30</v>
      </c>
      <c r="D123" s="1" t="s">
        <v>35</v>
      </c>
      <c r="E123" s="1" t="s">
        <v>36</v>
      </c>
      <c r="F123" s="3">
        <v>0.0</v>
      </c>
      <c r="G123" s="3">
        <v>0.0</v>
      </c>
    </row>
    <row r="124">
      <c r="A124" s="1" t="s">
        <v>200</v>
      </c>
      <c r="B124" s="1" t="s">
        <v>29</v>
      </c>
      <c r="C124" s="1" t="s">
        <v>30</v>
      </c>
      <c r="D124" s="1" t="s">
        <v>25</v>
      </c>
      <c r="E124" s="1" t="s">
        <v>26</v>
      </c>
      <c r="F124" s="3">
        <v>1.0</v>
      </c>
      <c r="G124" s="3">
        <v>1.0</v>
      </c>
    </row>
    <row r="125">
      <c r="A125" s="1" t="s">
        <v>201</v>
      </c>
      <c r="B125" s="1" t="s">
        <v>29</v>
      </c>
      <c r="C125" s="1" t="s">
        <v>30</v>
      </c>
      <c r="D125" s="1" t="s">
        <v>54</v>
      </c>
      <c r="E125" s="1" t="s">
        <v>55</v>
      </c>
      <c r="F125" s="3">
        <v>1.0</v>
      </c>
      <c r="G125" s="3">
        <v>0.0</v>
      </c>
    </row>
    <row r="126">
      <c r="A126" s="1" t="s">
        <v>202</v>
      </c>
      <c r="B126" s="1" t="s">
        <v>59</v>
      </c>
      <c r="C126" s="1" t="s">
        <v>60</v>
      </c>
      <c r="D126" s="1" t="s">
        <v>203</v>
      </c>
      <c r="E126" s="1" t="s">
        <v>204</v>
      </c>
      <c r="F126" s="3">
        <v>0.0</v>
      </c>
      <c r="G126" s="3">
        <v>0.0</v>
      </c>
    </row>
    <row r="127">
      <c r="A127" s="1" t="s">
        <v>205</v>
      </c>
      <c r="B127" s="1" t="s">
        <v>59</v>
      </c>
      <c r="C127" s="1" t="s">
        <v>60</v>
      </c>
      <c r="D127" s="1" t="s">
        <v>44</v>
      </c>
      <c r="E127" s="1" t="s">
        <v>45</v>
      </c>
      <c r="F127" s="3">
        <v>0.0</v>
      </c>
      <c r="G127" s="3">
        <v>0.0</v>
      </c>
    </row>
    <row r="128">
      <c r="A128" s="1" t="s">
        <v>206</v>
      </c>
      <c r="B128" s="1" t="s">
        <v>59</v>
      </c>
      <c r="C128" s="1" t="s">
        <v>60</v>
      </c>
      <c r="D128" s="1" t="s">
        <v>44</v>
      </c>
      <c r="E128" s="1" t="s">
        <v>45</v>
      </c>
      <c r="F128" s="3">
        <v>1.0</v>
      </c>
      <c r="G128" s="3">
        <v>0.0</v>
      </c>
    </row>
    <row r="129">
      <c r="A129" s="1" t="s">
        <v>207</v>
      </c>
      <c r="B129" s="1" t="s">
        <v>59</v>
      </c>
      <c r="C129" s="1" t="s">
        <v>60</v>
      </c>
      <c r="D129" s="1" t="s">
        <v>39</v>
      </c>
      <c r="E129" s="1" t="s">
        <v>40</v>
      </c>
      <c r="F129" s="3">
        <v>0.0</v>
      </c>
      <c r="G129" s="3">
        <v>0.0</v>
      </c>
    </row>
    <row r="130">
      <c r="A130" s="1" t="s">
        <v>208</v>
      </c>
      <c r="B130" s="1" t="s">
        <v>29</v>
      </c>
      <c r="C130" s="1" t="s">
        <v>30</v>
      </c>
      <c r="D130" s="1" t="s">
        <v>72</v>
      </c>
      <c r="E130" s="1" t="s">
        <v>73</v>
      </c>
      <c r="F130" s="3">
        <v>1.0</v>
      </c>
      <c r="G130" s="3">
        <v>0.0</v>
      </c>
    </row>
    <row r="131">
      <c r="A131" s="1" t="s">
        <v>209</v>
      </c>
      <c r="B131" s="1" t="s">
        <v>29</v>
      </c>
      <c r="C131" s="1" t="s">
        <v>30</v>
      </c>
      <c r="D131" s="1" t="s">
        <v>25</v>
      </c>
      <c r="E131" s="1" t="s">
        <v>26</v>
      </c>
      <c r="F131" s="3">
        <v>0.0</v>
      </c>
      <c r="G131" s="3">
        <v>0.0</v>
      </c>
    </row>
    <row r="132">
      <c r="A132" s="1" t="s">
        <v>210</v>
      </c>
      <c r="B132" s="1" t="s">
        <v>29</v>
      </c>
      <c r="C132" s="1" t="s">
        <v>30</v>
      </c>
      <c r="D132" s="1" t="s">
        <v>103</v>
      </c>
      <c r="E132" s="1" t="s">
        <v>104</v>
      </c>
      <c r="F132" s="3">
        <v>0.0</v>
      </c>
      <c r="G132" s="3">
        <v>0.0</v>
      </c>
    </row>
    <row r="133">
      <c r="A133" s="1" t="s">
        <v>211</v>
      </c>
      <c r="B133" s="1" t="s">
        <v>29</v>
      </c>
      <c r="C133" s="1" t="s">
        <v>30</v>
      </c>
      <c r="D133" s="1" t="s">
        <v>212</v>
      </c>
      <c r="E133" s="1" t="s">
        <v>213</v>
      </c>
      <c r="F133" s="3">
        <v>1.0</v>
      </c>
      <c r="G133" s="3">
        <v>1.0</v>
      </c>
    </row>
    <row r="134">
      <c r="A134" s="1" t="s">
        <v>214</v>
      </c>
      <c r="B134" s="1" t="s">
        <v>29</v>
      </c>
      <c r="C134" s="1" t="s">
        <v>30</v>
      </c>
      <c r="D134" s="1" t="s">
        <v>35</v>
      </c>
      <c r="E134" s="1" t="s">
        <v>36</v>
      </c>
      <c r="F134" s="3">
        <v>0.0</v>
      </c>
      <c r="G134" s="3">
        <v>0.0</v>
      </c>
    </row>
    <row r="135">
      <c r="A135" s="1" t="s">
        <v>215</v>
      </c>
      <c r="B135" s="1" t="s">
        <v>59</v>
      </c>
      <c r="C135" s="1" t="s">
        <v>60</v>
      </c>
      <c r="D135" s="1" t="s">
        <v>25</v>
      </c>
      <c r="E135" s="1" t="s">
        <v>26</v>
      </c>
      <c r="F135" s="3">
        <v>0.0</v>
      </c>
      <c r="G135" s="3">
        <v>0.0</v>
      </c>
    </row>
    <row r="136">
      <c r="A136" s="1" t="s">
        <v>216</v>
      </c>
      <c r="B136" s="1" t="s">
        <v>59</v>
      </c>
      <c r="C136" s="1" t="s">
        <v>60</v>
      </c>
      <c r="D136" s="1" t="s">
        <v>25</v>
      </c>
      <c r="E136" s="1" t="s">
        <v>26</v>
      </c>
      <c r="F136" s="3">
        <v>1.0</v>
      </c>
      <c r="G136" s="3">
        <v>0.0</v>
      </c>
    </row>
    <row r="137">
      <c r="A137" s="1" t="s">
        <v>217</v>
      </c>
      <c r="B137" s="1" t="s">
        <v>59</v>
      </c>
      <c r="C137" s="1" t="s">
        <v>60</v>
      </c>
      <c r="D137" s="1" t="s">
        <v>39</v>
      </c>
      <c r="E137" s="1" t="s">
        <v>40</v>
      </c>
      <c r="F137" s="3">
        <v>1.0</v>
      </c>
      <c r="G137" s="3">
        <v>0.0</v>
      </c>
    </row>
    <row r="138">
      <c r="A138" s="1" t="s">
        <v>218</v>
      </c>
      <c r="B138" s="1" t="s">
        <v>59</v>
      </c>
      <c r="C138" s="1" t="s">
        <v>60</v>
      </c>
      <c r="D138" s="1" t="s">
        <v>90</v>
      </c>
      <c r="E138" s="1" t="s">
        <v>77</v>
      </c>
      <c r="F138" s="3">
        <v>0.0</v>
      </c>
      <c r="G138" s="3">
        <v>0.0</v>
      </c>
    </row>
    <row r="139">
      <c r="A139" s="1" t="s">
        <v>219</v>
      </c>
      <c r="B139" s="1" t="s">
        <v>59</v>
      </c>
      <c r="C139" s="1" t="s">
        <v>60</v>
      </c>
      <c r="D139" s="1" t="s">
        <v>14</v>
      </c>
      <c r="E139" s="1" t="s">
        <v>15</v>
      </c>
      <c r="F139" s="3">
        <v>0.0</v>
      </c>
      <c r="G139" s="3">
        <v>0.0</v>
      </c>
    </row>
    <row r="140">
      <c r="A140" s="1" t="s">
        <v>220</v>
      </c>
      <c r="B140" s="1" t="s">
        <v>59</v>
      </c>
      <c r="C140" s="1" t="s">
        <v>60</v>
      </c>
      <c r="D140" s="1" t="s">
        <v>203</v>
      </c>
      <c r="E140" s="1" t="s">
        <v>204</v>
      </c>
      <c r="F140" s="3">
        <v>1.0</v>
      </c>
      <c r="G140" s="3">
        <v>0.0</v>
      </c>
    </row>
    <row r="141">
      <c r="A141" s="1" t="s">
        <v>221</v>
      </c>
      <c r="B141" s="1" t="s">
        <v>59</v>
      </c>
      <c r="C141" s="1" t="s">
        <v>60</v>
      </c>
      <c r="D141" s="1" t="s">
        <v>25</v>
      </c>
      <c r="E141" s="1" t="s">
        <v>26</v>
      </c>
      <c r="F141" s="3">
        <v>0.0</v>
      </c>
      <c r="G141" s="3">
        <v>0.0</v>
      </c>
    </row>
    <row r="142">
      <c r="A142" s="1" t="s">
        <v>222</v>
      </c>
      <c r="B142" s="1" t="s">
        <v>59</v>
      </c>
      <c r="C142" s="1" t="s">
        <v>60</v>
      </c>
      <c r="D142" s="1" t="s">
        <v>223</v>
      </c>
      <c r="E142" s="1" t="s">
        <v>154</v>
      </c>
      <c r="F142" s="3">
        <v>0.0</v>
      </c>
      <c r="G142" s="3">
        <v>0.0</v>
      </c>
    </row>
    <row r="143">
      <c r="A143" s="1" t="s">
        <v>224</v>
      </c>
      <c r="B143" s="1" t="s">
        <v>14</v>
      </c>
      <c r="C143" s="1" t="s">
        <v>15</v>
      </c>
      <c r="D143" s="1" t="s">
        <v>54</v>
      </c>
      <c r="E143" s="1" t="s">
        <v>55</v>
      </c>
      <c r="F143" s="3">
        <v>0.0</v>
      </c>
      <c r="G143" s="3">
        <v>0.0</v>
      </c>
    </row>
    <row r="144">
      <c r="A144" s="1" t="s">
        <v>225</v>
      </c>
      <c r="B144" s="1" t="s">
        <v>14</v>
      </c>
      <c r="C144" s="1" t="s">
        <v>15</v>
      </c>
      <c r="D144" s="1" t="s">
        <v>226</v>
      </c>
      <c r="E144" s="1" t="s">
        <v>227</v>
      </c>
      <c r="F144" s="3">
        <v>0.0</v>
      </c>
      <c r="G144" s="3">
        <v>1.0</v>
      </c>
    </row>
    <row r="145">
      <c r="A145" s="1" t="s">
        <v>228</v>
      </c>
      <c r="B145" s="1" t="s">
        <v>14</v>
      </c>
      <c r="C145" s="1" t="s">
        <v>15</v>
      </c>
      <c r="D145" s="1" t="s">
        <v>92</v>
      </c>
      <c r="E145" s="1" t="s">
        <v>49</v>
      </c>
      <c r="F145" s="3">
        <v>0.0</v>
      </c>
      <c r="G145" s="3">
        <v>0.0</v>
      </c>
    </row>
    <row r="146">
      <c r="A146" s="1" t="s">
        <v>229</v>
      </c>
      <c r="B146" s="1" t="s">
        <v>29</v>
      </c>
      <c r="C146" s="1" t="s">
        <v>30</v>
      </c>
      <c r="D146" s="1" t="s">
        <v>25</v>
      </c>
      <c r="E146" s="1" t="s">
        <v>26</v>
      </c>
      <c r="F146" s="3">
        <v>0.0</v>
      </c>
      <c r="G146" s="3">
        <v>0.0</v>
      </c>
    </row>
    <row r="147">
      <c r="A147" s="1" t="s">
        <v>230</v>
      </c>
      <c r="B147" s="1" t="s">
        <v>29</v>
      </c>
      <c r="C147" s="1" t="s">
        <v>30</v>
      </c>
      <c r="D147" s="1" t="s">
        <v>25</v>
      </c>
      <c r="E147" s="1" t="s">
        <v>26</v>
      </c>
      <c r="F147" s="3">
        <v>1.0</v>
      </c>
      <c r="G147" s="3">
        <v>1.0</v>
      </c>
    </row>
    <row r="148">
      <c r="A148" s="1" t="s">
        <v>231</v>
      </c>
      <c r="B148" s="1" t="s">
        <v>29</v>
      </c>
      <c r="C148" s="1" t="s">
        <v>30</v>
      </c>
      <c r="D148" s="1" t="s">
        <v>25</v>
      </c>
      <c r="E148" s="1" t="s">
        <v>26</v>
      </c>
      <c r="F148" s="3">
        <v>0.0</v>
      </c>
      <c r="G148" s="3">
        <v>0.0</v>
      </c>
    </row>
    <row r="149">
      <c r="A149" s="1" t="s">
        <v>232</v>
      </c>
      <c r="B149" s="1" t="s">
        <v>29</v>
      </c>
      <c r="C149" s="1" t="s">
        <v>30</v>
      </c>
      <c r="D149" s="1" t="s">
        <v>35</v>
      </c>
      <c r="E149" s="1" t="s">
        <v>36</v>
      </c>
      <c r="F149" s="3">
        <v>0.0</v>
      </c>
      <c r="G149" s="3">
        <v>0.0</v>
      </c>
    </row>
    <row r="150">
      <c r="A150" s="1" t="s">
        <v>233</v>
      </c>
      <c r="B150" s="1" t="s">
        <v>29</v>
      </c>
      <c r="C150" s="1" t="s">
        <v>30</v>
      </c>
      <c r="D150" s="1" t="s">
        <v>35</v>
      </c>
      <c r="E150" s="1" t="s">
        <v>36</v>
      </c>
      <c r="F150" s="3">
        <v>0.0</v>
      </c>
      <c r="G150" s="3">
        <v>1.0</v>
      </c>
    </row>
    <row r="151">
      <c r="A151" s="1" t="s">
        <v>234</v>
      </c>
      <c r="B151" s="1" t="s">
        <v>29</v>
      </c>
      <c r="C151" s="1" t="s">
        <v>30</v>
      </c>
      <c r="D151" s="1" t="s">
        <v>103</v>
      </c>
      <c r="E151" s="1" t="s">
        <v>104</v>
      </c>
      <c r="F151" s="3">
        <v>0.0</v>
      </c>
      <c r="G151" s="3">
        <v>1.0</v>
      </c>
    </row>
    <row r="152">
      <c r="A152" s="1" t="s">
        <v>235</v>
      </c>
      <c r="B152" s="1" t="s">
        <v>29</v>
      </c>
      <c r="C152" s="1" t="s">
        <v>30</v>
      </c>
      <c r="D152" s="1" t="s">
        <v>103</v>
      </c>
      <c r="E152" s="1" t="s">
        <v>104</v>
      </c>
      <c r="F152" s="3">
        <v>0.0</v>
      </c>
      <c r="G152" s="3">
        <v>0.0</v>
      </c>
    </row>
    <row r="153">
      <c r="A153" s="1" t="s">
        <v>236</v>
      </c>
      <c r="B153" s="1" t="s">
        <v>29</v>
      </c>
      <c r="C153" s="1" t="s">
        <v>30</v>
      </c>
      <c r="D153" s="1" t="s">
        <v>41</v>
      </c>
      <c r="E153" s="1" t="s">
        <v>42</v>
      </c>
      <c r="F153" s="3">
        <v>0.0</v>
      </c>
      <c r="G153" s="3">
        <v>0.0</v>
      </c>
    </row>
    <row r="154">
      <c r="A154" s="1" t="s">
        <v>237</v>
      </c>
      <c r="B154" s="1" t="s">
        <v>29</v>
      </c>
      <c r="C154" s="1" t="s">
        <v>30</v>
      </c>
      <c r="D154" s="1" t="s">
        <v>41</v>
      </c>
      <c r="E154" s="1" t="s">
        <v>42</v>
      </c>
      <c r="F154" s="3">
        <v>0.0</v>
      </c>
      <c r="G154" s="3">
        <v>0.0</v>
      </c>
    </row>
    <row r="155">
      <c r="A155" s="1" t="s">
        <v>238</v>
      </c>
      <c r="B155" s="1" t="s">
        <v>29</v>
      </c>
      <c r="C155" s="1" t="s">
        <v>30</v>
      </c>
      <c r="D155" s="1" t="s">
        <v>41</v>
      </c>
      <c r="E155" s="1" t="s">
        <v>42</v>
      </c>
      <c r="F155" s="3">
        <v>1.0</v>
      </c>
      <c r="G155" s="3">
        <v>0.0</v>
      </c>
    </row>
    <row r="156">
      <c r="A156" s="1" t="s">
        <v>239</v>
      </c>
      <c r="B156" s="1" t="s">
        <v>29</v>
      </c>
      <c r="C156" s="1" t="s">
        <v>30</v>
      </c>
      <c r="D156" s="1" t="s">
        <v>25</v>
      </c>
      <c r="E156" s="1" t="s">
        <v>26</v>
      </c>
      <c r="F156" s="3">
        <v>1.0</v>
      </c>
      <c r="G156" s="3">
        <v>0.0</v>
      </c>
    </row>
    <row r="157">
      <c r="A157" s="1" t="s">
        <v>240</v>
      </c>
      <c r="B157" s="1" t="s">
        <v>29</v>
      </c>
      <c r="C157" s="1" t="s">
        <v>30</v>
      </c>
      <c r="D157" s="1" t="s">
        <v>54</v>
      </c>
      <c r="E157" s="1" t="s">
        <v>55</v>
      </c>
      <c r="F157" s="3">
        <v>1.0</v>
      </c>
      <c r="G157" s="3">
        <v>0.0</v>
      </c>
    </row>
    <row r="158">
      <c r="A158" s="1" t="s">
        <v>241</v>
      </c>
      <c r="B158" s="1" t="s">
        <v>59</v>
      </c>
      <c r="C158" s="1" t="s">
        <v>60</v>
      </c>
      <c r="D158" s="1" t="s">
        <v>25</v>
      </c>
      <c r="E158" s="1" t="s">
        <v>26</v>
      </c>
      <c r="F158" s="3">
        <v>0.0</v>
      </c>
      <c r="G158" s="3">
        <v>0.0</v>
      </c>
    </row>
    <row r="159">
      <c r="A159" s="1" t="s">
        <v>242</v>
      </c>
      <c r="B159" s="1" t="s">
        <v>59</v>
      </c>
      <c r="C159" s="1" t="s">
        <v>60</v>
      </c>
      <c r="D159" s="1" t="s">
        <v>25</v>
      </c>
      <c r="E159" s="1" t="s">
        <v>26</v>
      </c>
      <c r="F159" s="3">
        <v>0.0</v>
      </c>
      <c r="G159" s="3">
        <v>0.0</v>
      </c>
    </row>
    <row r="160">
      <c r="A160" s="1" t="s">
        <v>243</v>
      </c>
      <c r="B160" s="1" t="s">
        <v>29</v>
      </c>
      <c r="C160" s="1" t="s">
        <v>30</v>
      </c>
      <c r="D160" s="1" t="s">
        <v>35</v>
      </c>
      <c r="E160" s="1" t="s">
        <v>36</v>
      </c>
      <c r="F160" s="3">
        <v>0.0</v>
      </c>
      <c r="G160" s="3">
        <v>0.0</v>
      </c>
    </row>
    <row r="161">
      <c r="A161" s="1" t="s">
        <v>244</v>
      </c>
      <c r="B161" s="1" t="s">
        <v>29</v>
      </c>
      <c r="C161" s="1" t="s">
        <v>30</v>
      </c>
      <c r="D161" s="1" t="s">
        <v>25</v>
      </c>
      <c r="E161" s="1" t="s">
        <v>26</v>
      </c>
      <c r="F161" s="3">
        <v>0.0</v>
      </c>
      <c r="G161" s="3">
        <v>1.0</v>
      </c>
    </row>
    <row r="162">
      <c r="A162" s="1" t="s">
        <v>245</v>
      </c>
      <c r="B162" s="1" t="s">
        <v>29</v>
      </c>
      <c r="C162" s="1" t="s">
        <v>30</v>
      </c>
      <c r="D162" s="1" t="s">
        <v>25</v>
      </c>
      <c r="E162" s="1" t="s">
        <v>26</v>
      </c>
      <c r="F162" s="3">
        <v>0.0</v>
      </c>
      <c r="G162" s="3">
        <v>0.0</v>
      </c>
    </row>
    <row r="163">
      <c r="A163" s="1" t="s">
        <v>246</v>
      </c>
      <c r="B163" s="1" t="s">
        <v>29</v>
      </c>
      <c r="C163" s="1" t="s">
        <v>30</v>
      </c>
      <c r="D163" s="1" t="s">
        <v>25</v>
      </c>
      <c r="E163" s="1" t="s">
        <v>26</v>
      </c>
      <c r="F163" s="3">
        <v>0.0</v>
      </c>
      <c r="G163" s="3">
        <v>0.0</v>
      </c>
    </row>
    <row r="164">
      <c r="A164" s="1" t="s">
        <v>247</v>
      </c>
      <c r="B164" s="1" t="s">
        <v>29</v>
      </c>
      <c r="C164" s="1" t="s">
        <v>30</v>
      </c>
      <c r="D164" s="1" t="s">
        <v>54</v>
      </c>
      <c r="E164" s="1" t="s">
        <v>55</v>
      </c>
      <c r="F164" s="3">
        <v>1.0</v>
      </c>
      <c r="G164" s="3">
        <v>0.0</v>
      </c>
    </row>
    <row r="165">
      <c r="A165" s="1" t="s">
        <v>248</v>
      </c>
      <c r="B165" s="1" t="s">
        <v>29</v>
      </c>
      <c r="C165" s="1" t="s">
        <v>30</v>
      </c>
      <c r="D165" s="1" t="s">
        <v>39</v>
      </c>
      <c r="E165" s="1" t="s">
        <v>40</v>
      </c>
      <c r="F165" s="3">
        <v>0.0</v>
      </c>
      <c r="G165" s="3">
        <v>0.0</v>
      </c>
    </row>
    <row r="166">
      <c r="A166" s="1" t="s">
        <v>249</v>
      </c>
      <c r="B166" s="1" t="s">
        <v>59</v>
      </c>
      <c r="C166" s="1" t="s">
        <v>60</v>
      </c>
      <c r="D166" s="1" t="s">
        <v>70</v>
      </c>
      <c r="E166" s="1" t="s">
        <v>69</v>
      </c>
      <c r="F166" s="3">
        <v>0.0</v>
      </c>
      <c r="G166" s="3">
        <v>0.0</v>
      </c>
    </row>
    <row r="167">
      <c r="A167" s="1" t="s">
        <v>250</v>
      </c>
      <c r="B167" s="1" t="s">
        <v>68</v>
      </c>
      <c r="C167" s="1" t="s">
        <v>69</v>
      </c>
      <c r="D167" s="1" t="s">
        <v>25</v>
      </c>
      <c r="E167" s="1" t="s">
        <v>26</v>
      </c>
      <c r="F167" s="3">
        <v>0.0</v>
      </c>
      <c r="G167" s="3">
        <v>1.0</v>
      </c>
    </row>
    <row r="168">
      <c r="A168" s="1" t="s">
        <v>251</v>
      </c>
      <c r="B168" s="1" t="s">
        <v>68</v>
      </c>
      <c r="C168" s="1" t="s">
        <v>69</v>
      </c>
      <c r="D168" s="1" t="s">
        <v>16</v>
      </c>
      <c r="E168" s="1" t="s">
        <v>17</v>
      </c>
      <c r="F168" s="3">
        <v>1.0</v>
      </c>
      <c r="G168" s="3">
        <v>0.0</v>
      </c>
    </row>
    <row r="169">
      <c r="A169" s="1" t="s">
        <v>252</v>
      </c>
      <c r="B169" s="1" t="s">
        <v>130</v>
      </c>
      <c r="C169" s="1" t="s">
        <v>131</v>
      </c>
      <c r="D169" s="1" t="s">
        <v>253</v>
      </c>
      <c r="E169" s="1" t="s">
        <v>254</v>
      </c>
      <c r="F169" s="3">
        <v>0.0</v>
      </c>
      <c r="G169" s="3">
        <v>0.0</v>
      </c>
    </row>
    <row r="170">
      <c r="A170" s="1" t="s">
        <v>255</v>
      </c>
      <c r="B170" s="1" t="s">
        <v>14</v>
      </c>
      <c r="C170" s="1" t="s">
        <v>15</v>
      </c>
      <c r="D170" s="1" t="s">
        <v>35</v>
      </c>
      <c r="E170" s="1" t="s">
        <v>36</v>
      </c>
      <c r="F170" s="3">
        <v>1.0</v>
      </c>
      <c r="G170" s="3">
        <v>0.0</v>
      </c>
    </row>
    <row r="171">
      <c r="A171" s="1" t="s">
        <v>256</v>
      </c>
      <c r="B171" s="1" t="s">
        <v>14</v>
      </c>
      <c r="C171" s="1" t="s">
        <v>15</v>
      </c>
      <c r="D171" s="1" t="s">
        <v>183</v>
      </c>
      <c r="E171" s="1" t="s">
        <v>40</v>
      </c>
      <c r="F171" s="3">
        <v>1.0</v>
      </c>
      <c r="G171" s="3">
        <v>0.0</v>
      </c>
    </row>
    <row r="172">
      <c r="A172" s="1" t="s">
        <v>257</v>
      </c>
      <c r="B172" s="1" t="s">
        <v>14</v>
      </c>
      <c r="C172" s="1" t="s">
        <v>15</v>
      </c>
      <c r="D172" s="1" t="s">
        <v>19</v>
      </c>
      <c r="E172" s="1" t="s">
        <v>20</v>
      </c>
      <c r="F172" s="3">
        <v>1.0</v>
      </c>
      <c r="G172" s="3">
        <v>0.0</v>
      </c>
    </row>
    <row r="173">
      <c r="A173" s="1" t="s">
        <v>258</v>
      </c>
      <c r="B173" s="1" t="s">
        <v>14</v>
      </c>
      <c r="C173" s="1" t="s">
        <v>15</v>
      </c>
      <c r="D173" s="1" t="s">
        <v>259</v>
      </c>
      <c r="E173" s="1" t="s">
        <v>260</v>
      </c>
      <c r="F173" s="3">
        <v>0.0</v>
      </c>
      <c r="G173" s="3">
        <v>1.0</v>
      </c>
    </row>
    <row r="174">
      <c r="A174" s="1" t="s">
        <v>261</v>
      </c>
      <c r="B174" s="1" t="s">
        <v>14</v>
      </c>
      <c r="C174" s="1" t="s">
        <v>15</v>
      </c>
      <c r="D174" s="1" t="s">
        <v>226</v>
      </c>
      <c r="E174" s="1" t="s">
        <v>227</v>
      </c>
      <c r="F174" s="3">
        <v>1.0</v>
      </c>
      <c r="G174" s="3">
        <v>0.0</v>
      </c>
    </row>
    <row r="175">
      <c r="A175" s="1" t="s">
        <v>262</v>
      </c>
      <c r="B175" s="1" t="s">
        <v>14</v>
      </c>
      <c r="C175" s="1" t="s">
        <v>15</v>
      </c>
      <c r="D175" s="1" t="s">
        <v>19</v>
      </c>
      <c r="E175" s="1" t="s">
        <v>20</v>
      </c>
      <c r="F175" s="3">
        <v>1.0</v>
      </c>
      <c r="G175" s="3">
        <v>0.0</v>
      </c>
    </row>
    <row r="176">
      <c r="A176" s="1" t="s">
        <v>263</v>
      </c>
      <c r="B176" s="1" t="s">
        <v>14</v>
      </c>
      <c r="C176" s="1" t="s">
        <v>15</v>
      </c>
      <c r="D176" s="1" t="s">
        <v>25</v>
      </c>
      <c r="E176" s="1" t="s">
        <v>26</v>
      </c>
      <c r="F176" s="3">
        <v>0.0</v>
      </c>
      <c r="G176" s="3">
        <v>1.0</v>
      </c>
    </row>
    <row r="177">
      <c r="A177" s="1" t="s">
        <v>264</v>
      </c>
      <c r="B177" s="1" t="s">
        <v>14</v>
      </c>
      <c r="C177" s="1" t="s">
        <v>15</v>
      </c>
      <c r="D177" s="1" t="s">
        <v>25</v>
      </c>
      <c r="E177" s="1" t="s">
        <v>26</v>
      </c>
      <c r="F177" s="3">
        <v>0.0</v>
      </c>
      <c r="G177" s="3">
        <v>1.0</v>
      </c>
    </row>
    <row r="178">
      <c r="A178" s="1" t="s">
        <v>265</v>
      </c>
      <c r="B178" s="1" t="s">
        <v>14</v>
      </c>
      <c r="C178" s="1" t="s">
        <v>15</v>
      </c>
      <c r="D178" s="1" t="s">
        <v>76</v>
      </c>
      <c r="E178" s="1" t="s">
        <v>77</v>
      </c>
      <c r="F178" s="3">
        <v>1.0</v>
      </c>
      <c r="G178" s="3">
        <v>0.0</v>
      </c>
    </row>
    <row r="179">
      <c r="A179" s="1" t="s">
        <v>266</v>
      </c>
      <c r="B179" s="1" t="s">
        <v>14</v>
      </c>
      <c r="C179" s="1" t="s">
        <v>15</v>
      </c>
      <c r="D179" s="1" t="s">
        <v>96</v>
      </c>
      <c r="E179" s="1" t="s">
        <v>97</v>
      </c>
      <c r="F179" s="3">
        <v>1.0</v>
      </c>
      <c r="G179" s="3">
        <v>0.0</v>
      </c>
    </row>
    <row r="180">
      <c r="A180" s="1" t="s">
        <v>267</v>
      </c>
      <c r="B180" s="1" t="s">
        <v>14</v>
      </c>
      <c r="C180" s="1" t="s">
        <v>15</v>
      </c>
      <c r="D180" s="1" t="s">
        <v>226</v>
      </c>
      <c r="E180" s="1" t="s">
        <v>227</v>
      </c>
      <c r="F180" s="3">
        <v>1.0</v>
      </c>
      <c r="G180" s="3">
        <v>1.0</v>
      </c>
    </row>
    <row r="181">
      <c r="A181" s="1" t="s">
        <v>268</v>
      </c>
      <c r="B181" s="1" t="s">
        <v>14</v>
      </c>
      <c r="C181" s="1" t="s">
        <v>15</v>
      </c>
      <c r="D181" s="1" t="s">
        <v>39</v>
      </c>
      <c r="E181" s="1" t="s">
        <v>40</v>
      </c>
      <c r="F181" s="3">
        <v>1.0</v>
      </c>
      <c r="G181" s="3">
        <v>1.0</v>
      </c>
    </row>
    <row r="182">
      <c r="A182" s="1" t="s">
        <v>269</v>
      </c>
      <c r="B182" s="1" t="s">
        <v>14</v>
      </c>
      <c r="C182" s="1" t="s">
        <v>15</v>
      </c>
      <c r="D182" s="1" t="s">
        <v>76</v>
      </c>
      <c r="E182" s="1" t="s">
        <v>77</v>
      </c>
      <c r="F182" s="3">
        <v>0.0</v>
      </c>
      <c r="G182" s="3">
        <v>0.0</v>
      </c>
    </row>
    <row r="183">
      <c r="A183" s="1" t="s">
        <v>270</v>
      </c>
      <c r="B183" s="1" t="s">
        <v>14</v>
      </c>
      <c r="C183" s="1" t="s">
        <v>15</v>
      </c>
      <c r="D183" s="1" t="s">
        <v>16</v>
      </c>
      <c r="E183" s="1" t="s">
        <v>17</v>
      </c>
      <c r="F183" s="3">
        <v>0.0</v>
      </c>
      <c r="G183" s="3">
        <v>0.0</v>
      </c>
    </row>
    <row r="184">
      <c r="A184" s="1" t="s">
        <v>271</v>
      </c>
      <c r="B184" s="1" t="s">
        <v>14</v>
      </c>
      <c r="C184" s="1" t="s">
        <v>15</v>
      </c>
      <c r="D184" s="1" t="s">
        <v>272</v>
      </c>
      <c r="E184" s="1" t="s">
        <v>273</v>
      </c>
      <c r="F184" s="3">
        <v>1.0</v>
      </c>
      <c r="G184" s="3">
        <v>1.0</v>
      </c>
    </row>
    <row r="185">
      <c r="A185" s="1" t="s">
        <v>274</v>
      </c>
      <c r="B185" s="1" t="s">
        <v>14</v>
      </c>
      <c r="C185" s="1" t="s">
        <v>15</v>
      </c>
      <c r="D185" s="1" t="s">
        <v>19</v>
      </c>
      <c r="E185" s="1" t="s">
        <v>20</v>
      </c>
      <c r="F185" s="3">
        <v>0.0</v>
      </c>
      <c r="G185" s="3">
        <v>0.0</v>
      </c>
    </row>
    <row r="186">
      <c r="A186" s="1" t="s">
        <v>275</v>
      </c>
      <c r="B186" s="1" t="s">
        <v>276</v>
      </c>
      <c r="C186" s="1" t="s">
        <v>277</v>
      </c>
      <c r="D186" s="1" t="s">
        <v>19</v>
      </c>
      <c r="E186" s="1" t="s">
        <v>20</v>
      </c>
      <c r="F186" s="3">
        <v>0.0</v>
      </c>
      <c r="G186" s="3">
        <v>0.0</v>
      </c>
    </row>
    <row r="187">
      <c r="A187" s="1" t="s">
        <v>278</v>
      </c>
      <c r="B187" s="1" t="s">
        <v>276</v>
      </c>
      <c r="C187" s="1" t="s">
        <v>277</v>
      </c>
      <c r="D187" s="1" t="s">
        <v>35</v>
      </c>
      <c r="E187" s="1" t="s">
        <v>36</v>
      </c>
      <c r="F187" s="3">
        <v>1.0</v>
      </c>
      <c r="G187" s="3">
        <v>0.0</v>
      </c>
    </row>
    <row r="188">
      <c r="A188" s="1" t="s">
        <v>279</v>
      </c>
      <c r="B188" s="1" t="s">
        <v>276</v>
      </c>
      <c r="C188" s="1" t="s">
        <v>277</v>
      </c>
      <c r="D188" s="1" t="s">
        <v>85</v>
      </c>
      <c r="E188" s="1" t="s">
        <v>86</v>
      </c>
      <c r="F188" s="3">
        <v>0.0</v>
      </c>
      <c r="G188" s="3">
        <v>0.0</v>
      </c>
    </row>
    <row r="189">
      <c r="A189" s="1" t="s">
        <v>280</v>
      </c>
      <c r="B189" s="1" t="s">
        <v>276</v>
      </c>
      <c r="C189" s="1" t="s">
        <v>277</v>
      </c>
      <c r="D189" s="1" t="s">
        <v>85</v>
      </c>
      <c r="E189" s="1" t="s">
        <v>86</v>
      </c>
      <c r="F189" s="3">
        <v>0.0</v>
      </c>
      <c r="G189" s="3">
        <v>0.0</v>
      </c>
    </row>
    <row r="190">
      <c r="A190" s="1" t="s">
        <v>281</v>
      </c>
      <c r="B190" s="1" t="s">
        <v>276</v>
      </c>
      <c r="C190" s="1" t="s">
        <v>277</v>
      </c>
      <c r="D190" s="1" t="s">
        <v>282</v>
      </c>
      <c r="E190" s="1" t="s">
        <v>283</v>
      </c>
      <c r="F190" s="3">
        <v>1.0</v>
      </c>
      <c r="G190" s="3">
        <v>0.0</v>
      </c>
    </row>
    <row r="191">
      <c r="A191" s="1" t="s">
        <v>284</v>
      </c>
      <c r="B191" s="1" t="s">
        <v>276</v>
      </c>
      <c r="C191" s="1" t="s">
        <v>277</v>
      </c>
      <c r="D191" s="1" t="s">
        <v>259</v>
      </c>
      <c r="E191" s="1" t="s">
        <v>260</v>
      </c>
      <c r="F191" s="3">
        <v>0.0</v>
      </c>
      <c r="G191" s="3">
        <v>0.0</v>
      </c>
    </row>
    <row r="192">
      <c r="A192" s="1" t="s">
        <v>285</v>
      </c>
      <c r="B192" s="1" t="s">
        <v>14</v>
      </c>
      <c r="C192" s="1" t="s">
        <v>15</v>
      </c>
      <c r="D192" s="1" t="s">
        <v>19</v>
      </c>
      <c r="E192" s="1" t="s">
        <v>20</v>
      </c>
      <c r="F192" s="3">
        <v>1.0</v>
      </c>
      <c r="G192" s="3">
        <v>0.0</v>
      </c>
    </row>
    <row r="193">
      <c r="A193" s="1" t="s">
        <v>286</v>
      </c>
      <c r="B193" s="1" t="s">
        <v>14</v>
      </c>
      <c r="C193" s="1" t="s">
        <v>15</v>
      </c>
      <c r="D193" s="1" t="s">
        <v>160</v>
      </c>
      <c r="E193" s="1" t="s">
        <v>161</v>
      </c>
      <c r="F193" s="3">
        <v>1.0</v>
      </c>
      <c r="G193" s="3">
        <v>0.0</v>
      </c>
    </row>
    <row r="194">
      <c r="A194" s="1" t="s">
        <v>287</v>
      </c>
      <c r="B194" s="1" t="s">
        <v>14</v>
      </c>
      <c r="C194" s="1" t="s">
        <v>15</v>
      </c>
      <c r="D194" s="1" t="s">
        <v>79</v>
      </c>
      <c r="E194" s="1" t="s">
        <v>80</v>
      </c>
      <c r="F194" s="3">
        <v>0.0</v>
      </c>
      <c r="G194" s="3">
        <v>0.0</v>
      </c>
    </row>
    <row r="195">
      <c r="A195" s="1" t="s">
        <v>288</v>
      </c>
      <c r="B195" s="1" t="s">
        <v>14</v>
      </c>
      <c r="C195" s="1" t="s">
        <v>15</v>
      </c>
      <c r="D195" s="1" t="s">
        <v>39</v>
      </c>
      <c r="E195" s="1" t="s">
        <v>40</v>
      </c>
      <c r="F195" s="3">
        <v>1.0</v>
      </c>
      <c r="G195" s="3">
        <v>0.0</v>
      </c>
    </row>
    <row r="196">
      <c r="A196" s="1" t="s">
        <v>289</v>
      </c>
      <c r="B196" s="1" t="s">
        <v>14</v>
      </c>
      <c r="C196" s="1" t="s">
        <v>15</v>
      </c>
      <c r="D196" s="1" t="s">
        <v>96</v>
      </c>
      <c r="E196" s="1" t="s">
        <v>97</v>
      </c>
      <c r="F196" s="3">
        <v>0.0</v>
      </c>
      <c r="G196" s="3">
        <v>1.0</v>
      </c>
    </row>
    <row r="197">
      <c r="A197" s="1" t="s">
        <v>290</v>
      </c>
      <c r="B197" s="1" t="s">
        <v>14</v>
      </c>
      <c r="C197" s="1" t="s">
        <v>15</v>
      </c>
      <c r="D197" s="1" t="s">
        <v>138</v>
      </c>
      <c r="E197" s="1" t="s">
        <v>139</v>
      </c>
      <c r="F197" s="3">
        <v>0.0</v>
      </c>
      <c r="G197" s="3">
        <v>0.0</v>
      </c>
    </row>
    <row r="198">
      <c r="A198" s="1" t="s">
        <v>291</v>
      </c>
      <c r="B198" s="1" t="s">
        <v>14</v>
      </c>
      <c r="C198" s="1" t="s">
        <v>15</v>
      </c>
      <c r="D198" s="1" t="s">
        <v>19</v>
      </c>
      <c r="E198" s="1" t="s">
        <v>20</v>
      </c>
      <c r="F198" s="3">
        <v>1.0</v>
      </c>
      <c r="G198" s="3">
        <v>1.0</v>
      </c>
    </row>
    <row r="199">
      <c r="A199" s="1" t="s">
        <v>292</v>
      </c>
      <c r="B199" s="1" t="s">
        <v>293</v>
      </c>
      <c r="C199" s="1" t="s">
        <v>294</v>
      </c>
      <c r="D199" s="1" t="s">
        <v>212</v>
      </c>
      <c r="E199" s="1" t="s">
        <v>213</v>
      </c>
      <c r="F199" s="3">
        <v>0.0</v>
      </c>
      <c r="G199" s="3">
        <v>0.0</v>
      </c>
    </row>
    <row r="200">
      <c r="A200" s="1" t="s">
        <v>295</v>
      </c>
      <c r="B200" s="1" t="s">
        <v>293</v>
      </c>
      <c r="C200" s="1" t="s">
        <v>294</v>
      </c>
      <c r="D200" s="1" t="s">
        <v>96</v>
      </c>
      <c r="E200" s="1" t="s">
        <v>97</v>
      </c>
      <c r="F200" s="3">
        <v>1.0</v>
      </c>
      <c r="G200" s="3">
        <v>0.0</v>
      </c>
    </row>
    <row r="201">
      <c r="A201" s="1" t="s">
        <v>296</v>
      </c>
      <c r="B201" s="1" t="s">
        <v>293</v>
      </c>
      <c r="C201" s="1" t="s">
        <v>294</v>
      </c>
      <c r="D201" s="1" t="s">
        <v>297</v>
      </c>
      <c r="E201" s="1" t="s">
        <v>298</v>
      </c>
      <c r="F201" s="3">
        <v>1.0</v>
      </c>
      <c r="G201" s="3">
        <v>0.0</v>
      </c>
    </row>
    <row r="202">
      <c r="A202" s="1" t="s">
        <v>299</v>
      </c>
      <c r="B202" s="1" t="s">
        <v>276</v>
      </c>
      <c r="C202" s="1" t="s">
        <v>277</v>
      </c>
      <c r="D202" s="1" t="s">
        <v>226</v>
      </c>
      <c r="E202" s="1" t="s">
        <v>227</v>
      </c>
      <c r="F202" s="3">
        <v>1.0</v>
      </c>
      <c r="G202" s="3">
        <v>0.0</v>
      </c>
    </row>
    <row r="203">
      <c r="A203" s="1" t="s">
        <v>300</v>
      </c>
      <c r="B203" s="1" t="s">
        <v>293</v>
      </c>
      <c r="C203" s="1" t="s">
        <v>294</v>
      </c>
      <c r="D203" s="1" t="s">
        <v>35</v>
      </c>
      <c r="E203" s="1" t="s">
        <v>36</v>
      </c>
      <c r="F203" s="3">
        <v>0.0</v>
      </c>
      <c r="G203" s="3">
        <v>0.0</v>
      </c>
    </row>
    <row r="204">
      <c r="A204" s="1" t="s">
        <v>301</v>
      </c>
      <c r="B204" s="1" t="s">
        <v>293</v>
      </c>
      <c r="C204" s="1" t="s">
        <v>294</v>
      </c>
      <c r="D204" s="1" t="s">
        <v>96</v>
      </c>
      <c r="E204" s="1" t="s">
        <v>97</v>
      </c>
      <c r="F204" s="3">
        <v>0.0</v>
      </c>
      <c r="G204" s="3">
        <v>0.0</v>
      </c>
    </row>
    <row r="205">
      <c r="A205" s="1" t="s">
        <v>302</v>
      </c>
      <c r="B205" s="1" t="s">
        <v>293</v>
      </c>
      <c r="C205" s="1" t="s">
        <v>294</v>
      </c>
      <c r="D205" s="1" t="s">
        <v>226</v>
      </c>
      <c r="E205" s="1" t="s">
        <v>227</v>
      </c>
      <c r="F205" s="3">
        <v>1.0</v>
      </c>
      <c r="G205" s="3">
        <v>0.0</v>
      </c>
    </row>
    <row r="206">
      <c r="A206" s="1" t="s">
        <v>303</v>
      </c>
      <c r="B206" s="1" t="s">
        <v>293</v>
      </c>
      <c r="C206" s="1" t="s">
        <v>294</v>
      </c>
      <c r="D206" s="1" t="s">
        <v>304</v>
      </c>
      <c r="E206" s="1" t="s">
        <v>20</v>
      </c>
      <c r="F206" s="3">
        <v>1.0</v>
      </c>
      <c r="G206" s="3">
        <v>0.0</v>
      </c>
    </row>
    <row r="207">
      <c r="A207" s="1" t="s">
        <v>305</v>
      </c>
      <c r="B207" s="1" t="s">
        <v>293</v>
      </c>
      <c r="C207" s="1" t="s">
        <v>294</v>
      </c>
      <c r="D207" s="1" t="s">
        <v>19</v>
      </c>
      <c r="E207" s="1" t="s">
        <v>20</v>
      </c>
      <c r="F207" s="3">
        <v>1.0</v>
      </c>
      <c r="G207" s="3">
        <v>1.0</v>
      </c>
    </row>
    <row r="208">
      <c r="A208" s="1" t="s">
        <v>306</v>
      </c>
      <c r="B208" s="1" t="s">
        <v>293</v>
      </c>
      <c r="C208" s="1" t="s">
        <v>294</v>
      </c>
      <c r="D208" s="1" t="s">
        <v>282</v>
      </c>
      <c r="E208" s="1" t="s">
        <v>283</v>
      </c>
      <c r="F208" s="3">
        <v>0.0</v>
      </c>
      <c r="G208" s="3">
        <v>0.0</v>
      </c>
    </row>
    <row r="209">
      <c r="A209" s="1" t="s">
        <v>307</v>
      </c>
      <c r="B209" s="1" t="s">
        <v>293</v>
      </c>
      <c r="C209" s="1" t="s">
        <v>294</v>
      </c>
      <c r="D209" s="1" t="s">
        <v>226</v>
      </c>
      <c r="E209" s="1" t="s">
        <v>227</v>
      </c>
      <c r="F209" s="3">
        <v>0.0</v>
      </c>
      <c r="G209" s="3">
        <v>0.0</v>
      </c>
    </row>
    <row r="210">
      <c r="A210" s="1" t="s">
        <v>308</v>
      </c>
      <c r="B210" s="1" t="s">
        <v>293</v>
      </c>
      <c r="C210" s="1" t="s">
        <v>294</v>
      </c>
      <c r="D210" s="1" t="s">
        <v>19</v>
      </c>
      <c r="E210" s="1" t="s">
        <v>20</v>
      </c>
      <c r="F210" s="3">
        <v>0.0</v>
      </c>
      <c r="G210" s="3">
        <v>0.0</v>
      </c>
    </row>
    <row r="211">
      <c r="A211" s="1" t="s">
        <v>309</v>
      </c>
      <c r="B211" s="1" t="s">
        <v>293</v>
      </c>
      <c r="C211" s="1" t="s">
        <v>294</v>
      </c>
      <c r="D211" s="1" t="s">
        <v>90</v>
      </c>
      <c r="E211" s="1" t="s">
        <v>77</v>
      </c>
      <c r="F211" s="3">
        <v>1.0</v>
      </c>
      <c r="G211" s="3">
        <v>1.0</v>
      </c>
    </row>
    <row r="212">
      <c r="A212" s="1" t="s">
        <v>310</v>
      </c>
      <c r="B212" s="1" t="s">
        <v>293</v>
      </c>
      <c r="C212" s="1" t="s">
        <v>294</v>
      </c>
      <c r="D212" s="1" t="s">
        <v>76</v>
      </c>
      <c r="E212" s="1" t="s">
        <v>77</v>
      </c>
      <c r="F212" s="3">
        <v>0.0</v>
      </c>
      <c r="G212" s="3">
        <v>0.0</v>
      </c>
    </row>
    <row r="213">
      <c r="A213" s="1" t="s">
        <v>311</v>
      </c>
      <c r="B213" s="1" t="s">
        <v>293</v>
      </c>
      <c r="C213" s="1" t="s">
        <v>294</v>
      </c>
      <c r="D213" s="1" t="s">
        <v>96</v>
      </c>
      <c r="E213" s="1" t="s">
        <v>97</v>
      </c>
      <c r="F213" s="3">
        <v>1.0</v>
      </c>
      <c r="G213" s="3">
        <v>0.0</v>
      </c>
    </row>
    <row r="214">
      <c r="A214" s="1" t="s">
        <v>312</v>
      </c>
      <c r="B214" s="1" t="s">
        <v>293</v>
      </c>
      <c r="C214" s="1" t="s">
        <v>294</v>
      </c>
      <c r="D214" s="1" t="s">
        <v>35</v>
      </c>
      <c r="E214" s="1" t="s">
        <v>36</v>
      </c>
      <c r="F214" s="3">
        <v>1.0</v>
      </c>
      <c r="G214" s="3">
        <v>1.0</v>
      </c>
    </row>
    <row r="215">
      <c r="A215" s="1" t="s">
        <v>313</v>
      </c>
      <c r="B215" s="1" t="s">
        <v>293</v>
      </c>
      <c r="C215" s="1" t="s">
        <v>294</v>
      </c>
      <c r="D215" s="1" t="s">
        <v>314</v>
      </c>
      <c r="E215" s="1" t="s">
        <v>315</v>
      </c>
      <c r="F215" s="3">
        <v>1.0</v>
      </c>
      <c r="G215" s="3">
        <v>0.0</v>
      </c>
    </row>
    <row r="216">
      <c r="A216" s="1" t="s">
        <v>316</v>
      </c>
      <c r="B216" s="1" t="s">
        <v>293</v>
      </c>
      <c r="C216" s="1" t="s">
        <v>294</v>
      </c>
      <c r="D216" s="1" t="s">
        <v>35</v>
      </c>
      <c r="E216" s="1" t="s">
        <v>36</v>
      </c>
      <c r="F216" s="3">
        <v>1.0</v>
      </c>
      <c r="G216" s="3">
        <v>1.0</v>
      </c>
    </row>
    <row r="217">
      <c r="A217" s="1" t="s">
        <v>317</v>
      </c>
      <c r="B217" s="1" t="s">
        <v>293</v>
      </c>
      <c r="C217" s="1" t="s">
        <v>294</v>
      </c>
      <c r="D217" s="1" t="s">
        <v>226</v>
      </c>
      <c r="E217" s="1" t="s">
        <v>227</v>
      </c>
      <c r="F217" s="3">
        <v>0.0</v>
      </c>
      <c r="G217" s="3">
        <v>0.0</v>
      </c>
    </row>
    <row r="218">
      <c r="A218" s="1" t="s">
        <v>318</v>
      </c>
      <c r="B218" s="1" t="s">
        <v>293</v>
      </c>
      <c r="C218" s="1" t="s">
        <v>294</v>
      </c>
      <c r="D218" s="1" t="s">
        <v>314</v>
      </c>
      <c r="E218" s="1" t="s">
        <v>315</v>
      </c>
      <c r="F218" s="3">
        <v>1.0</v>
      </c>
      <c r="G218" s="3">
        <v>0.0</v>
      </c>
    </row>
    <row r="219">
      <c r="A219" s="1" t="s">
        <v>319</v>
      </c>
      <c r="B219" s="1" t="s">
        <v>293</v>
      </c>
      <c r="C219" s="1" t="s">
        <v>294</v>
      </c>
      <c r="D219" s="1" t="s">
        <v>297</v>
      </c>
      <c r="E219" s="1" t="s">
        <v>298</v>
      </c>
      <c r="F219" s="3">
        <v>1.0</v>
      </c>
      <c r="G219" s="3">
        <v>0.0</v>
      </c>
    </row>
    <row r="220">
      <c r="A220" s="1" t="s">
        <v>320</v>
      </c>
      <c r="B220" s="1" t="s">
        <v>293</v>
      </c>
      <c r="C220" s="1" t="s">
        <v>294</v>
      </c>
      <c r="D220" s="1" t="s">
        <v>212</v>
      </c>
      <c r="E220" s="1" t="s">
        <v>213</v>
      </c>
      <c r="F220" s="3">
        <v>0.0</v>
      </c>
      <c r="G220" s="3">
        <v>0.0</v>
      </c>
    </row>
    <row r="221">
      <c r="A221" s="1" t="s">
        <v>321</v>
      </c>
      <c r="B221" s="1" t="s">
        <v>293</v>
      </c>
      <c r="C221" s="1" t="s">
        <v>294</v>
      </c>
      <c r="D221" s="1" t="s">
        <v>297</v>
      </c>
      <c r="E221" s="1" t="s">
        <v>298</v>
      </c>
      <c r="F221" s="3">
        <v>1.0</v>
      </c>
      <c r="G221" s="3">
        <v>0.0</v>
      </c>
    </row>
    <row r="222">
      <c r="A222" s="1" t="s">
        <v>322</v>
      </c>
      <c r="B222" s="1" t="s">
        <v>293</v>
      </c>
      <c r="C222" s="1" t="s">
        <v>294</v>
      </c>
      <c r="D222" s="1" t="s">
        <v>19</v>
      </c>
      <c r="E222" s="1" t="s">
        <v>20</v>
      </c>
      <c r="F222" s="3">
        <v>0.0</v>
      </c>
      <c r="G222" s="3">
        <v>0.0</v>
      </c>
    </row>
    <row r="223">
      <c r="A223" s="1" t="s">
        <v>323</v>
      </c>
      <c r="B223" s="1" t="s">
        <v>293</v>
      </c>
      <c r="C223" s="1" t="s">
        <v>294</v>
      </c>
      <c r="D223" s="1" t="s">
        <v>19</v>
      </c>
      <c r="E223" s="1" t="s">
        <v>20</v>
      </c>
      <c r="F223" s="3">
        <v>0.0</v>
      </c>
      <c r="G223" s="3">
        <v>1.0</v>
      </c>
    </row>
    <row r="224">
      <c r="A224" s="1" t="s">
        <v>324</v>
      </c>
      <c r="B224" s="1" t="s">
        <v>293</v>
      </c>
      <c r="C224" s="1" t="s">
        <v>294</v>
      </c>
      <c r="D224" s="1" t="s">
        <v>325</v>
      </c>
      <c r="E224" s="1" t="s">
        <v>36</v>
      </c>
      <c r="F224" s="3">
        <v>0.0</v>
      </c>
      <c r="G224" s="3">
        <v>0.0</v>
      </c>
    </row>
    <row r="225">
      <c r="A225" s="1" t="s">
        <v>326</v>
      </c>
      <c r="B225" s="1" t="s">
        <v>293</v>
      </c>
      <c r="C225" s="1" t="s">
        <v>294</v>
      </c>
      <c r="D225" s="1" t="s">
        <v>304</v>
      </c>
      <c r="E225" s="1" t="s">
        <v>20</v>
      </c>
      <c r="F225" s="3">
        <v>1.0</v>
      </c>
      <c r="G225" s="3">
        <v>0.0</v>
      </c>
    </row>
    <row r="226">
      <c r="A226" s="1" t="s">
        <v>327</v>
      </c>
      <c r="B226" s="1" t="s">
        <v>293</v>
      </c>
      <c r="C226" s="1" t="s">
        <v>294</v>
      </c>
      <c r="D226" s="1" t="s">
        <v>297</v>
      </c>
      <c r="E226" s="1" t="s">
        <v>298</v>
      </c>
      <c r="F226" s="3">
        <v>1.0</v>
      </c>
      <c r="G226" s="3">
        <v>0.0</v>
      </c>
    </row>
    <row r="227">
      <c r="A227" s="1" t="s">
        <v>328</v>
      </c>
      <c r="B227" s="1" t="s">
        <v>293</v>
      </c>
      <c r="C227" s="1" t="s">
        <v>294</v>
      </c>
      <c r="D227" s="1" t="s">
        <v>329</v>
      </c>
      <c r="E227" s="1" t="s">
        <v>330</v>
      </c>
      <c r="F227" s="3">
        <v>1.0</v>
      </c>
      <c r="G227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4" t="s">
        <v>331</v>
      </c>
      <c r="B1" s="4" t="s">
        <v>7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336</v>
      </c>
      <c r="H1" s="4" t="s">
        <v>335</v>
      </c>
      <c r="I1" s="4" t="s">
        <v>337</v>
      </c>
      <c r="J1" s="4" t="s">
        <v>335</v>
      </c>
      <c r="M1" s="5" t="s">
        <v>338</v>
      </c>
    </row>
    <row r="2" ht="60.0" customHeight="1">
      <c r="A2" s="6" t="str">
        <f>IMAGE("https://res.cloudinary.com/dlbhgbxbf/image/upload/v1767894619/OP06-042_jp.png",4,80,60)</f>
        <v/>
      </c>
      <c r="B2" s="7" t="s">
        <v>294</v>
      </c>
      <c r="C2" s="8">
        <v>28.0</v>
      </c>
      <c r="D2" s="8">
        <v>16.0</v>
      </c>
      <c r="E2" s="8">
        <v>12.0</v>
      </c>
      <c r="F2" s="9">
        <v>0.5714285714285714</v>
      </c>
      <c r="G2" s="10" t="str">
        <f>IMAGE("https://res.cloudinary.com/dlbhgbxbf/image/upload/v1767894619/OP09-062_jp.png",4,80,60)</f>
        <v/>
      </c>
      <c r="H2" s="9">
        <v>1.0</v>
      </c>
      <c r="I2" s="10" t="str">
        <f t="shared" ref="I2:I3" si="1">IMAGE("https://res.cloudinary.com/dlbhgbxbf/image/upload/v1767894619/OP11-041_jp.png",4,80,60)</f>
        <v/>
      </c>
      <c r="J2" s="9">
        <v>0.25</v>
      </c>
      <c r="M2" s="11"/>
    </row>
    <row r="3" ht="60.0" customHeight="1">
      <c r="A3" s="12" t="str">
        <f>IMAGE("https://res.cloudinary.com/dlbhgbxbf/image/upload/v1767894619/OP12-041_jp.png",4,80,60)</f>
        <v/>
      </c>
      <c r="B3" s="13" t="s">
        <v>15</v>
      </c>
      <c r="C3" s="14">
        <v>23.0</v>
      </c>
      <c r="D3" s="14">
        <v>14.0</v>
      </c>
      <c r="E3" s="14">
        <v>9.0</v>
      </c>
      <c r="F3" s="15">
        <v>0.6086956521739131</v>
      </c>
      <c r="G3" s="16" t="str">
        <f>IMAGE("https://res.cloudinary.com/dlbhgbxbf/image/upload/v1767894619/OP11-041_jp.png",4,80,60)</f>
        <v/>
      </c>
      <c r="H3" s="15">
        <v>0.8</v>
      </c>
      <c r="I3" s="16" t="str">
        <f t="shared" si="1"/>
        <v/>
      </c>
      <c r="J3" s="15">
        <v>0.8</v>
      </c>
      <c r="L3" s="17" t="s">
        <v>339</v>
      </c>
      <c r="M3" s="18"/>
      <c r="N3" s="11"/>
      <c r="O3" s="19" t="s">
        <v>340</v>
      </c>
      <c r="P3" s="20"/>
    </row>
    <row r="4" ht="60.0" customHeight="1">
      <c r="A4" s="6" t="str">
        <f>IMAGE("https://res.cloudinary.com/dlbhgbxbf/image/upload/v1767894619/OP08-058_jp.png",4,80,60)</f>
        <v/>
      </c>
      <c r="B4" s="7" t="s">
        <v>277</v>
      </c>
      <c r="C4" s="8">
        <v>7.0</v>
      </c>
      <c r="D4" s="8">
        <v>3.0</v>
      </c>
      <c r="E4" s="8">
        <v>4.0</v>
      </c>
      <c r="F4" s="9">
        <v>0.42857142857142855</v>
      </c>
      <c r="G4" s="8" t="s">
        <v>341</v>
      </c>
      <c r="H4" s="9" t="s">
        <v>341</v>
      </c>
      <c r="I4" s="8" t="s">
        <v>341</v>
      </c>
      <c r="J4" s="9" t="s">
        <v>341</v>
      </c>
      <c r="L4" s="21" t="str">
        <f>IMAGE("https://res.cloudinary.com/dlbhgbxbf/image/upload/v1767894619/OP11-041_jp.png",4,80,60)</f>
        <v/>
      </c>
      <c r="M4" s="22" t="s">
        <v>342</v>
      </c>
      <c r="O4" s="23" t="str">
        <f>IMAGE("https://res.cloudinary.com/dlbhgbxbf/image/upload/v1767894619/OP11-041_jp.png",4,80,60)</f>
        <v/>
      </c>
      <c r="P4" s="24" t="s">
        <v>343</v>
      </c>
    </row>
    <row r="5" ht="60.0" customHeight="1">
      <c r="B5" s="11"/>
      <c r="C5" s="25"/>
      <c r="D5" s="25"/>
      <c r="E5" s="25"/>
      <c r="F5" s="26"/>
      <c r="G5" s="25"/>
      <c r="H5" s="26"/>
      <c r="I5" s="25"/>
      <c r="J5" s="26"/>
      <c r="L5" s="27" t="str">
        <f>IMAGE("https://res.cloudinary.com/dlbhgbxbf/image/upload/v1767894619/OP14-041_jp.png",4,80,60)</f>
        <v/>
      </c>
      <c r="M5" s="28" t="s">
        <v>344</v>
      </c>
      <c r="O5" s="29" t="str">
        <f>IMAGE("https://res.cloudinary.com/dlbhgbxbf/image/upload/v1767894619/OP10-003_jp.png",4,80,60)</f>
        <v/>
      </c>
      <c r="P5" s="30" t="s">
        <v>345</v>
      </c>
    </row>
    <row r="6" ht="60.0" customHeight="1">
      <c r="B6" s="11"/>
      <c r="C6" s="25"/>
      <c r="D6" s="25"/>
      <c r="E6" s="25"/>
      <c r="F6" s="26"/>
      <c r="G6" s="25"/>
      <c r="H6" s="26"/>
      <c r="I6" s="25"/>
      <c r="J6" s="26"/>
      <c r="L6" s="31" t="str">
        <f>IMAGE("https://res.cloudinary.com/dlbhgbxbf/image/upload/v1767894619/EB03-001_jp.png",4,80,60)</f>
        <v/>
      </c>
      <c r="M6" s="32" t="s">
        <v>346</v>
      </c>
      <c r="O6" s="33" t="str">
        <f>IMAGE("https://res.cloudinary.com/dlbhgbxbf/image/upload/v1767894619/EB03-001_jp.png",4,80,60)</f>
        <v/>
      </c>
      <c r="P6" s="34" t="s">
        <v>347</v>
      </c>
    </row>
    <row r="7" ht="60.0" customHeight="1">
      <c r="B7" s="11"/>
      <c r="C7" s="25"/>
      <c r="D7" s="25"/>
      <c r="E7" s="25"/>
      <c r="F7" s="26"/>
      <c r="G7" s="25"/>
      <c r="H7" s="26"/>
      <c r="I7" s="25"/>
      <c r="J7" s="26"/>
      <c r="L7" s="35" t="str">
        <f>IMAGE("https://res.cloudinary.com/dlbhgbxbf/image/upload/v1767894619/OP09-062_jp.png",4,80,60)</f>
        <v/>
      </c>
      <c r="M7" s="36" t="s">
        <v>348</v>
      </c>
      <c r="O7" s="37" t="str">
        <f>IMAGE("https://res.cloudinary.com/dlbhgbxbf/image/upload/v1767894619/ST29-001_jp.png",4,80,60)</f>
        <v/>
      </c>
      <c r="P7" s="38" t="s">
        <v>349</v>
      </c>
    </row>
    <row r="8" ht="60.0" customHeight="1">
      <c r="B8" s="11"/>
      <c r="C8" s="25"/>
      <c r="D8" s="25"/>
      <c r="E8" s="25"/>
      <c r="F8" s="26"/>
      <c r="G8" s="25"/>
      <c r="H8" s="26"/>
      <c r="I8" s="25"/>
      <c r="J8" s="26"/>
    </row>
    <row r="9" ht="60.0" customHeight="1">
      <c r="B9" s="11"/>
      <c r="F9" s="26"/>
      <c r="G9" s="11"/>
      <c r="H9" s="26"/>
      <c r="I9" s="11"/>
      <c r="J9" s="26"/>
    </row>
    <row r="10" ht="60.0" customHeight="1">
      <c r="B10" s="11"/>
      <c r="F10" s="26"/>
      <c r="G10" s="11"/>
      <c r="H10" s="26"/>
      <c r="I10" s="11"/>
      <c r="J10" s="26"/>
    </row>
  </sheetData>
  <mergeCells count="2">
    <mergeCell ref="L3:M3"/>
    <mergeCell ref="O3:P3"/>
  </mergeCells>
  <conditionalFormatting sqref="F2:F4">
    <cfRule type="cellIs" dxfId="0" priority="1" stopIfTrue="1" operator="lessThanOrEqual">
      <formula>0.39</formula>
    </cfRule>
  </conditionalFormatting>
  <conditionalFormatting sqref="F2:F4">
    <cfRule type="cellIs" dxfId="1" priority="2" stopIfTrue="1" operator="between">
      <formula>0.4</formula>
      <formula>0.49</formula>
    </cfRule>
  </conditionalFormatting>
  <conditionalFormatting sqref="F2:F4">
    <cfRule type="cellIs" dxfId="2" priority="3" stopIfTrue="1" operator="between">
      <formula>0.5</formula>
      <formula>0.6</formula>
    </cfRule>
  </conditionalFormatting>
  <conditionalFormatting sqref="F2:F4">
    <cfRule type="cellIs" dxfId="3" priority="4" stopIfTrue="1" operator="greaterThanOrEqual">
      <formula>0.6</formula>
    </cfRule>
  </conditionalFormatting>
  <conditionalFormatting sqref="H2:H4">
    <cfRule type="cellIs" dxfId="0" priority="5" stopIfTrue="1" operator="lessThanOrEqual">
      <formula>0.39</formula>
    </cfRule>
  </conditionalFormatting>
  <conditionalFormatting sqref="H2:H4">
    <cfRule type="cellIs" dxfId="1" priority="6" stopIfTrue="1" operator="between">
      <formula>0.4</formula>
      <formula>0.49</formula>
    </cfRule>
  </conditionalFormatting>
  <conditionalFormatting sqref="H2:H4">
    <cfRule type="cellIs" dxfId="2" priority="7" stopIfTrue="1" operator="between">
      <formula>0.5</formula>
      <formula>0.6</formula>
    </cfRule>
  </conditionalFormatting>
  <conditionalFormatting sqref="H2:H4">
    <cfRule type="cellIs" dxfId="3" priority="8" stopIfTrue="1" operator="greaterThanOrEqual">
      <formula>0.6</formula>
    </cfRule>
  </conditionalFormatting>
  <conditionalFormatting sqref="J2:J4">
    <cfRule type="cellIs" dxfId="0" priority="9" stopIfTrue="1" operator="lessThanOrEqual">
      <formula>0.39</formula>
    </cfRule>
  </conditionalFormatting>
  <conditionalFormatting sqref="J2:J4">
    <cfRule type="cellIs" dxfId="1" priority="10" stopIfTrue="1" operator="between">
      <formula>0.4</formula>
      <formula>0.49</formula>
    </cfRule>
  </conditionalFormatting>
  <conditionalFormatting sqref="J2:J4">
    <cfRule type="cellIs" dxfId="2" priority="11" stopIfTrue="1" operator="between">
      <formula>0.5</formula>
      <formula>0.6</formula>
    </cfRule>
  </conditionalFormatting>
  <conditionalFormatting sqref="J2:J4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331</v>
      </c>
      <c r="B1" s="4" t="s">
        <v>350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351</v>
      </c>
      <c r="H1" s="4" t="s">
        <v>335</v>
      </c>
      <c r="I1" s="4" t="s">
        <v>352</v>
      </c>
      <c r="J1" s="4" t="s">
        <v>335</v>
      </c>
    </row>
    <row r="2" ht="60.0" customHeight="1">
      <c r="A2" s="6" t="str">
        <f>IMAGE("https://res.cloudinary.com/dlbhgbxbf/image/upload/v1767894619/OP09-062_jp.png",4,80,60)</f>
        <v/>
      </c>
      <c r="B2" s="7" t="s">
        <v>297</v>
      </c>
      <c r="C2" s="39">
        <v>4.0</v>
      </c>
      <c r="D2" s="39">
        <v>4.0</v>
      </c>
      <c r="E2" s="39">
        <v>0.0</v>
      </c>
      <c r="F2" s="9">
        <v>1.0</v>
      </c>
      <c r="G2" s="39">
        <v>0.0</v>
      </c>
      <c r="H2" s="9" t="s">
        <v>341</v>
      </c>
      <c r="I2" s="39">
        <v>4.0</v>
      </c>
      <c r="J2" s="9">
        <v>1.0</v>
      </c>
    </row>
    <row r="3" ht="60.0" customHeight="1">
      <c r="A3" s="12" t="str">
        <f>IMAGE("https://res.cloudinary.com/dlbhgbxbf/image/upload/v1767894619/OP11-041_jp.png",4,80,60)</f>
        <v/>
      </c>
      <c r="B3" s="13" t="s">
        <v>19</v>
      </c>
      <c r="C3" s="40">
        <v>4.0</v>
      </c>
      <c r="D3" s="40">
        <v>1.0</v>
      </c>
      <c r="E3" s="40">
        <v>3.0</v>
      </c>
      <c r="F3" s="15">
        <v>0.25</v>
      </c>
      <c r="G3" s="40">
        <v>2.0</v>
      </c>
      <c r="H3" s="15">
        <v>0.5</v>
      </c>
      <c r="I3" s="40">
        <v>2.0</v>
      </c>
      <c r="J3" s="15">
        <v>0.0</v>
      </c>
    </row>
    <row r="4" ht="60.0" customHeight="1">
      <c r="A4" s="6" t="str">
        <f>IMAGE("https://res.cloudinary.com/dlbhgbxbf/image/upload/v1767894619/OP06-022_jp.png",4,80,60)</f>
        <v/>
      </c>
      <c r="B4" s="7" t="s">
        <v>96</v>
      </c>
      <c r="C4" s="39">
        <v>3.0</v>
      </c>
      <c r="D4" s="39">
        <v>2.0</v>
      </c>
      <c r="E4" s="39">
        <v>1.0</v>
      </c>
      <c r="F4" s="9">
        <v>0.6666666666666666</v>
      </c>
      <c r="G4" s="39">
        <v>0.0</v>
      </c>
      <c r="H4" s="9" t="s">
        <v>341</v>
      </c>
      <c r="I4" s="39">
        <v>3.0</v>
      </c>
      <c r="J4" s="9">
        <v>0.6666666666666666</v>
      </c>
    </row>
    <row r="5" ht="60.0" customHeight="1">
      <c r="A5" s="12" t="str">
        <f>IMAGE("https://res.cloudinary.com/dlbhgbxbf/image/upload/v1767894619/OP14-041_jp.png",4,80,60)</f>
        <v/>
      </c>
      <c r="B5" s="13" t="s">
        <v>35</v>
      </c>
      <c r="C5" s="40">
        <v>3.0</v>
      </c>
      <c r="D5" s="40">
        <v>2.0</v>
      </c>
      <c r="E5" s="40">
        <v>1.0</v>
      </c>
      <c r="F5" s="15">
        <v>0.6666666666666666</v>
      </c>
      <c r="G5" s="40">
        <v>2.0</v>
      </c>
      <c r="H5" s="15">
        <v>1.0</v>
      </c>
      <c r="I5" s="40">
        <v>1.0</v>
      </c>
      <c r="J5" s="15">
        <v>0.0</v>
      </c>
    </row>
    <row r="6" ht="60.0" customHeight="1">
      <c r="A6" s="6" t="str">
        <f>IMAGE("https://res.cloudinary.com/dlbhgbxbf/image/upload/v1767894619/EB03-001_jp.png",4,80,60)</f>
        <v/>
      </c>
      <c r="B6" s="7" t="s">
        <v>226</v>
      </c>
      <c r="C6" s="39">
        <v>3.0</v>
      </c>
      <c r="D6" s="39">
        <v>1.0</v>
      </c>
      <c r="E6" s="39">
        <v>2.0</v>
      </c>
      <c r="F6" s="9">
        <v>0.3333333333333333</v>
      </c>
      <c r="G6" s="39">
        <v>0.0</v>
      </c>
      <c r="H6" s="9" t="s">
        <v>341</v>
      </c>
      <c r="I6" s="39">
        <v>3.0</v>
      </c>
      <c r="J6" s="9">
        <v>0.3333333333333333</v>
      </c>
    </row>
    <row r="7" ht="60.0" customHeight="1">
      <c r="A7" s="12" t="str">
        <f>IMAGE("https://res.cloudinary.com/dlbhgbxbf/image/upload/v1767894619/ST11-001_jp.png",4,80,60)</f>
        <v/>
      </c>
      <c r="B7" s="13" t="s">
        <v>212</v>
      </c>
      <c r="C7" s="40">
        <v>2.0</v>
      </c>
      <c r="D7" s="40">
        <v>0.0</v>
      </c>
      <c r="E7" s="40">
        <v>2.0</v>
      </c>
      <c r="F7" s="15">
        <v>0.0</v>
      </c>
      <c r="G7" s="40">
        <v>0.0</v>
      </c>
      <c r="H7" s="15" t="s">
        <v>341</v>
      </c>
      <c r="I7" s="40">
        <v>2.0</v>
      </c>
      <c r="J7" s="15">
        <v>0.0</v>
      </c>
    </row>
    <row r="8" ht="60.0" customHeight="1">
      <c r="A8" s="6" t="str">
        <f>IMAGE("https://res.cloudinary.com/dlbhgbxbf/image/upload/v1767894619/P-117_jp.png",4,80,60)</f>
        <v/>
      </c>
      <c r="B8" s="7" t="s">
        <v>304</v>
      </c>
      <c r="C8" s="39">
        <v>2.0</v>
      </c>
      <c r="D8" s="39">
        <v>2.0</v>
      </c>
      <c r="E8" s="39">
        <v>0.0</v>
      </c>
      <c r="F8" s="9">
        <v>1.0</v>
      </c>
      <c r="G8" s="39">
        <v>0.0</v>
      </c>
      <c r="H8" s="9" t="s">
        <v>341</v>
      </c>
      <c r="I8" s="39">
        <v>2.0</v>
      </c>
      <c r="J8" s="9">
        <v>1.0</v>
      </c>
    </row>
    <row r="9" ht="60.0" customHeight="1">
      <c r="A9" s="12" t="str">
        <f>IMAGE("https://res.cloudinary.com/dlbhgbxbf/image/upload/v1767894619/OP06-021_jp.png",4,80,60)</f>
        <v/>
      </c>
      <c r="B9" s="13" t="s">
        <v>314</v>
      </c>
      <c r="C9" s="40">
        <v>2.0</v>
      </c>
      <c r="D9" s="40">
        <v>2.0</v>
      </c>
      <c r="E9" s="40">
        <v>0.0</v>
      </c>
      <c r="F9" s="15">
        <v>1.0</v>
      </c>
      <c r="G9" s="40">
        <v>0.0</v>
      </c>
      <c r="H9" s="15" t="s">
        <v>341</v>
      </c>
      <c r="I9" s="40">
        <v>2.0</v>
      </c>
      <c r="J9" s="15">
        <v>1.0</v>
      </c>
    </row>
    <row r="10" ht="60.0" customHeight="1">
      <c r="A10" s="6" t="str">
        <f>IMAGE("https://res.cloudinary.com/dlbhgbxbf/image/upload/v1767894619/OP08-021_jp.png",4,80,60)</f>
        <v/>
      </c>
      <c r="B10" s="7" t="s">
        <v>282</v>
      </c>
      <c r="C10" s="39">
        <v>1.0</v>
      </c>
      <c r="D10" s="39">
        <v>0.0</v>
      </c>
      <c r="E10" s="39">
        <v>1.0</v>
      </c>
      <c r="F10" s="9">
        <v>0.0</v>
      </c>
      <c r="G10" s="39">
        <v>0.0</v>
      </c>
      <c r="H10" s="9" t="s">
        <v>341</v>
      </c>
      <c r="I10" s="39">
        <v>1.0</v>
      </c>
      <c r="J10" s="9">
        <v>0.0</v>
      </c>
    </row>
    <row r="11" ht="60.0" customHeight="1">
      <c r="A11" s="12" t="str">
        <f>IMAGE("https://res.cloudinary.com/dlbhgbxbf/image/upload/v1767894619/OP13-100_jp.png",4,80,60)</f>
        <v/>
      </c>
      <c r="B11" s="13" t="s">
        <v>90</v>
      </c>
      <c r="C11" s="40">
        <v>1.0</v>
      </c>
      <c r="D11" s="40">
        <v>1.0</v>
      </c>
      <c r="E11" s="40">
        <v>0.0</v>
      </c>
      <c r="F11" s="15">
        <v>1.0</v>
      </c>
      <c r="G11" s="40">
        <v>1.0</v>
      </c>
      <c r="H11" s="15">
        <v>1.0</v>
      </c>
      <c r="I11" s="40">
        <v>0.0</v>
      </c>
      <c r="J11" s="15" t="s">
        <v>341</v>
      </c>
    </row>
    <row r="12" ht="60.0" customHeight="1">
      <c r="A12" s="6" t="str">
        <f>IMAGE("https://res.cloudinary.com/dlbhgbxbf/image/upload/v1767894619/OP07-019_jp.png",4,80,60)</f>
        <v/>
      </c>
      <c r="B12" s="7" t="s">
        <v>76</v>
      </c>
      <c r="C12" s="39">
        <v>1.0</v>
      </c>
      <c r="D12" s="39">
        <v>0.0</v>
      </c>
      <c r="E12" s="39">
        <v>1.0</v>
      </c>
      <c r="F12" s="9">
        <v>0.0</v>
      </c>
      <c r="G12" s="39">
        <v>0.0</v>
      </c>
      <c r="H12" s="9" t="s">
        <v>341</v>
      </c>
      <c r="I12" s="39">
        <v>1.0</v>
      </c>
      <c r="J12" s="9">
        <v>0.0</v>
      </c>
    </row>
    <row r="13" ht="60.0" customHeight="1">
      <c r="A13" s="12" t="str">
        <f>IMAGE("https://res.cloudinary.com/dlbhgbxbf/image/upload/v1767894619/OP07-038_jp.png",4,80,60)</f>
        <v/>
      </c>
      <c r="B13" s="13" t="s">
        <v>325</v>
      </c>
      <c r="C13" s="40">
        <v>1.0</v>
      </c>
      <c r="D13" s="40">
        <v>0.0</v>
      </c>
      <c r="E13" s="40">
        <v>1.0</v>
      </c>
      <c r="F13" s="15">
        <v>0.0</v>
      </c>
      <c r="G13" s="40">
        <v>0.0</v>
      </c>
      <c r="H13" s="15" t="s">
        <v>341</v>
      </c>
      <c r="I13" s="40">
        <v>1.0</v>
      </c>
      <c r="J13" s="15">
        <v>0.0</v>
      </c>
    </row>
    <row r="14" ht="60.0" customHeight="1">
      <c r="A14" s="6" t="str">
        <f>IMAGE("https://res.cloudinary.com/dlbhgbxbf/image/upload/v1767894619/OP09-022_jp.png",4,80,60)</f>
        <v/>
      </c>
      <c r="B14" s="7" t="s">
        <v>329</v>
      </c>
      <c r="C14" s="39">
        <v>1.0</v>
      </c>
      <c r="D14" s="39">
        <v>1.0</v>
      </c>
      <c r="E14" s="39">
        <v>0.0</v>
      </c>
      <c r="F14" s="9">
        <v>1.0</v>
      </c>
      <c r="G14" s="39">
        <v>0.0</v>
      </c>
      <c r="H14" s="9" t="s">
        <v>341</v>
      </c>
      <c r="I14" s="39">
        <v>1.0</v>
      </c>
      <c r="J14" s="9">
        <v>1.0</v>
      </c>
    </row>
  </sheetData>
  <conditionalFormatting sqref="F2:F14">
    <cfRule type="cellIs" dxfId="4" priority="1" stopIfTrue="1" operator="equal">
      <formula>"-"</formula>
    </cfRule>
  </conditionalFormatting>
  <conditionalFormatting sqref="F2:F14">
    <cfRule type="cellIs" dxfId="0" priority="2" stopIfTrue="1" operator="lessThanOrEqual">
      <formula>0.39</formula>
    </cfRule>
  </conditionalFormatting>
  <conditionalFormatting sqref="F2:F14">
    <cfRule type="cellIs" dxfId="1" priority="3" stopIfTrue="1" operator="between">
      <formula>0.4</formula>
      <formula>0.49</formula>
    </cfRule>
  </conditionalFormatting>
  <conditionalFormatting sqref="F2:F14">
    <cfRule type="cellIs" dxfId="2" priority="4" stopIfTrue="1" operator="between">
      <formula>0.5</formula>
      <formula>0.6</formula>
    </cfRule>
  </conditionalFormatting>
  <conditionalFormatting sqref="F2:F14">
    <cfRule type="cellIs" dxfId="3" priority="5" stopIfTrue="1" operator="greaterThanOrEqual">
      <formula>0.6</formula>
    </cfRule>
  </conditionalFormatting>
  <conditionalFormatting sqref="H2:H14">
    <cfRule type="cellIs" dxfId="4" priority="6" stopIfTrue="1" operator="equal">
      <formula>"-"</formula>
    </cfRule>
  </conditionalFormatting>
  <conditionalFormatting sqref="H2:H14">
    <cfRule type="cellIs" dxfId="0" priority="7" stopIfTrue="1" operator="lessThanOrEqual">
      <formula>0.39</formula>
    </cfRule>
  </conditionalFormatting>
  <conditionalFormatting sqref="H2:H14">
    <cfRule type="cellIs" dxfId="1" priority="8" stopIfTrue="1" operator="between">
      <formula>0.4</formula>
      <formula>0.49</formula>
    </cfRule>
  </conditionalFormatting>
  <conditionalFormatting sqref="H2:H14">
    <cfRule type="cellIs" dxfId="2" priority="9" stopIfTrue="1" operator="between">
      <formula>0.5</formula>
      <formula>0.6</formula>
    </cfRule>
  </conditionalFormatting>
  <conditionalFormatting sqref="H2:H14">
    <cfRule type="cellIs" dxfId="3" priority="10" stopIfTrue="1" operator="greaterThanOrEqual">
      <formula>0.6</formula>
    </cfRule>
  </conditionalFormatting>
  <conditionalFormatting sqref="J2:J14">
    <cfRule type="cellIs" dxfId="4" priority="11" stopIfTrue="1" operator="equal">
      <formula>"-"</formula>
    </cfRule>
  </conditionalFormatting>
  <conditionalFormatting sqref="J2:J14">
    <cfRule type="cellIs" dxfId="0" priority="12" stopIfTrue="1" operator="lessThanOrEqual">
      <formula>0.39</formula>
    </cfRule>
  </conditionalFormatting>
  <conditionalFormatting sqref="J2:J14">
    <cfRule type="cellIs" dxfId="1" priority="13" stopIfTrue="1" operator="between">
      <formula>0.4</formula>
      <formula>0.49</formula>
    </cfRule>
  </conditionalFormatting>
  <conditionalFormatting sqref="J2:J14">
    <cfRule type="cellIs" dxfId="2" priority="14" stopIfTrue="1" operator="between">
      <formula>0.5</formula>
      <formula>0.6</formula>
    </cfRule>
  </conditionalFormatting>
  <conditionalFormatting sqref="J2:J14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331</v>
      </c>
      <c r="B1" s="4" t="s">
        <v>350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351</v>
      </c>
      <c r="H1" s="4" t="s">
        <v>335</v>
      </c>
      <c r="I1" s="4" t="s">
        <v>352</v>
      </c>
      <c r="J1" s="4" t="s">
        <v>335</v>
      </c>
    </row>
    <row r="2" ht="60.0" customHeight="1">
      <c r="A2" s="6" t="str">
        <f>IMAGE("https://res.cloudinary.com/dlbhgbxbf/image/upload/v1767894619/OP11-022_jp.png",4,80,60)</f>
        <v/>
      </c>
      <c r="B2" s="7" t="s">
        <v>85</v>
      </c>
      <c r="C2" s="39">
        <v>2.0</v>
      </c>
      <c r="D2" s="39">
        <v>0.0</v>
      </c>
      <c r="E2" s="39">
        <v>2.0</v>
      </c>
      <c r="F2" s="9">
        <v>0.0</v>
      </c>
      <c r="G2" s="39">
        <v>0.0</v>
      </c>
      <c r="H2" s="9" t="s">
        <v>341</v>
      </c>
      <c r="I2" s="39">
        <v>2.0</v>
      </c>
      <c r="J2" s="9">
        <v>0.0</v>
      </c>
    </row>
    <row r="3" ht="60.0" customHeight="1">
      <c r="A3" s="12" t="str">
        <f>IMAGE("https://res.cloudinary.com/dlbhgbxbf/image/upload/v1767894619/OP11-041_jp.png",4,80,60)</f>
        <v/>
      </c>
      <c r="B3" s="13" t="s">
        <v>19</v>
      </c>
      <c r="C3" s="40">
        <v>1.0</v>
      </c>
      <c r="D3" s="40">
        <v>0.0</v>
      </c>
      <c r="E3" s="40">
        <v>1.0</v>
      </c>
      <c r="F3" s="15">
        <v>0.0</v>
      </c>
      <c r="G3" s="40">
        <v>0.0</v>
      </c>
      <c r="H3" s="15" t="s">
        <v>341</v>
      </c>
      <c r="I3" s="40">
        <v>1.0</v>
      </c>
      <c r="J3" s="15">
        <v>0.0</v>
      </c>
    </row>
    <row r="4" ht="60.0" customHeight="1">
      <c r="A4" s="6" t="str">
        <f>IMAGE("https://res.cloudinary.com/dlbhgbxbf/image/upload/v1767894619/OP14-041_jp.png",4,80,60)</f>
        <v/>
      </c>
      <c r="B4" s="7" t="s">
        <v>35</v>
      </c>
      <c r="C4" s="39">
        <v>1.0</v>
      </c>
      <c r="D4" s="39">
        <v>1.0</v>
      </c>
      <c r="E4" s="39">
        <v>0.0</v>
      </c>
      <c r="F4" s="9">
        <v>1.0</v>
      </c>
      <c r="G4" s="39">
        <v>0.0</v>
      </c>
      <c r="H4" s="9" t="s">
        <v>341</v>
      </c>
      <c r="I4" s="39">
        <v>1.0</v>
      </c>
      <c r="J4" s="9">
        <v>1.0</v>
      </c>
    </row>
    <row r="5" ht="60.0" customHeight="1">
      <c r="A5" s="12" t="str">
        <f>IMAGE("https://res.cloudinary.com/dlbhgbxbf/image/upload/v1767894619/OP08-021_jp.png",4,80,60)</f>
        <v/>
      </c>
      <c r="B5" s="13" t="s">
        <v>282</v>
      </c>
      <c r="C5" s="40">
        <v>1.0</v>
      </c>
      <c r="D5" s="40">
        <v>1.0</v>
      </c>
      <c r="E5" s="40">
        <v>0.0</v>
      </c>
      <c r="F5" s="15">
        <v>1.0</v>
      </c>
      <c r="G5" s="40">
        <v>0.0</v>
      </c>
      <c r="H5" s="15" t="s">
        <v>341</v>
      </c>
      <c r="I5" s="40">
        <v>1.0</v>
      </c>
      <c r="J5" s="15">
        <v>1.0</v>
      </c>
    </row>
    <row r="6" ht="60.0" customHeight="1">
      <c r="A6" s="6" t="str">
        <f>IMAGE("https://res.cloudinary.com/dlbhgbxbf/image/upload/v1767894619/OP10-003_jp.png",4,80,60)</f>
        <v/>
      </c>
      <c r="B6" s="7" t="s">
        <v>259</v>
      </c>
      <c r="C6" s="39">
        <v>1.0</v>
      </c>
      <c r="D6" s="39">
        <v>0.0</v>
      </c>
      <c r="E6" s="39">
        <v>1.0</v>
      </c>
      <c r="F6" s="9">
        <v>0.0</v>
      </c>
      <c r="G6" s="39">
        <v>0.0</v>
      </c>
      <c r="H6" s="9" t="s">
        <v>341</v>
      </c>
      <c r="I6" s="39">
        <v>1.0</v>
      </c>
      <c r="J6" s="9">
        <v>0.0</v>
      </c>
    </row>
    <row r="7" ht="60.0" customHeight="1">
      <c r="A7" s="12" t="str">
        <f>IMAGE("https://res.cloudinary.com/dlbhgbxbf/image/upload/v1767894619/EB03-001_jp.png",4,80,60)</f>
        <v/>
      </c>
      <c r="B7" s="13" t="s">
        <v>226</v>
      </c>
      <c r="C7" s="40">
        <v>1.0</v>
      </c>
      <c r="D7" s="40">
        <v>1.0</v>
      </c>
      <c r="E7" s="40">
        <v>0.0</v>
      </c>
      <c r="F7" s="15">
        <v>1.0</v>
      </c>
      <c r="G7" s="40">
        <v>0.0</v>
      </c>
      <c r="H7" s="15" t="s">
        <v>341</v>
      </c>
      <c r="I7" s="40">
        <v>1.0</v>
      </c>
      <c r="J7" s="15">
        <v>1.0</v>
      </c>
    </row>
  </sheetData>
  <conditionalFormatting sqref="F2:F7">
    <cfRule type="cellIs" dxfId="4" priority="1" stopIfTrue="1" operator="equal">
      <formula>"-"</formula>
    </cfRule>
  </conditionalFormatting>
  <conditionalFormatting sqref="F2:F7">
    <cfRule type="cellIs" dxfId="0" priority="2" stopIfTrue="1" operator="lessThanOrEqual">
      <formula>0.39</formula>
    </cfRule>
  </conditionalFormatting>
  <conditionalFormatting sqref="F2:F7">
    <cfRule type="cellIs" dxfId="1" priority="3" stopIfTrue="1" operator="between">
      <formula>0.4</formula>
      <formula>0.49</formula>
    </cfRule>
  </conditionalFormatting>
  <conditionalFormatting sqref="F2:F7">
    <cfRule type="cellIs" dxfId="2" priority="4" stopIfTrue="1" operator="between">
      <formula>0.5</formula>
      <formula>0.6</formula>
    </cfRule>
  </conditionalFormatting>
  <conditionalFormatting sqref="F2:F7">
    <cfRule type="cellIs" dxfId="3" priority="5" stopIfTrue="1" operator="greaterThanOrEqual">
      <formula>0.6</formula>
    </cfRule>
  </conditionalFormatting>
  <conditionalFormatting sqref="H2:H7">
    <cfRule type="cellIs" dxfId="4" priority="6" stopIfTrue="1" operator="equal">
      <formula>"-"</formula>
    </cfRule>
  </conditionalFormatting>
  <conditionalFormatting sqref="H2:H7">
    <cfRule type="cellIs" dxfId="0" priority="7" stopIfTrue="1" operator="lessThanOrEqual">
      <formula>0.39</formula>
    </cfRule>
  </conditionalFormatting>
  <conditionalFormatting sqref="H2:H7">
    <cfRule type="cellIs" dxfId="1" priority="8" stopIfTrue="1" operator="between">
      <formula>0.4</formula>
      <formula>0.49</formula>
    </cfRule>
  </conditionalFormatting>
  <conditionalFormatting sqref="H2:H7">
    <cfRule type="cellIs" dxfId="2" priority="9" stopIfTrue="1" operator="between">
      <formula>0.5</formula>
      <formula>0.6</formula>
    </cfRule>
  </conditionalFormatting>
  <conditionalFormatting sqref="H2:H7">
    <cfRule type="cellIs" dxfId="3" priority="10" stopIfTrue="1" operator="greaterThanOrEqual">
      <formula>0.6</formula>
    </cfRule>
  </conditionalFormatting>
  <conditionalFormatting sqref="J2:J7">
    <cfRule type="cellIs" dxfId="4" priority="11" stopIfTrue="1" operator="equal">
      <formula>"-"</formula>
    </cfRule>
  </conditionalFormatting>
  <conditionalFormatting sqref="J2:J7">
    <cfRule type="cellIs" dxfId="0" priority="12" stopIfTrue="1" operator="lessThanOrEqual">
      <formula>0.39</formula>
    </cfRule>
  </conditionalFormatting>
  <conditionalFormatting sqref="J2:J7">
    <cfRule type="cellIs" dxfId="1" priority="13" stopIfTrue="1" operator="between">
      <formula>0.4</formula>
      <formula>0.49</formula>
    </cfRule>
  </conditionalFormatting>
  <conditionalFormatting sqref="J2:J7">
    <cfRule type="cellIs" dxfId="2" priority="14" stopIfTrue="1" operator="between">
      <formula>0.5</formula>
      <formula>0.6</formula>
    </cfRule>
  </conditionalFormatting>
  <conditionalFormatting sqref="J2:J7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1" max="11" width="12.0"/>
  </cols>
  <sheetData>
    <row r="1">
      <c r="A1" s="4" t="s">
        <v>331</v>
      </c>
      <c r="B1" s="4" t="s">
        <v>350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351</v>
      </c>
      <c r="H1" s="4" t="s">
        <v>335</v>
      </c>
      <c r="I1" s="4" t="s">
        <v>352</v>
      </c>
      <c r="J1" s="4" t="s">
        <v>335</v>
      </c>
      <c r="K1" s="11"/>
    </row>
    <row r="2" ht="60.0" customHeight="1">
      <c r="A2" s="6" t="str">
        <f>IMAGE("https://res.cloudinary.com/dlbhgbxbf/image/upload/v1767894619/OP11-041_jp.png",4,80,60)</f>
        <v/>
      </c>
      <c r="B2" s="7" t="s">
        <v>19</v>
      </c>
      <c r="C2" s="8">
        <v>5.0</v>
      </c>
      <c r="D2" s="8">
        <v>4.0</v>
      </c>
      <c r="E2" s="8">
        <v>1.0</v>
      </c>
      <c r="F2" s="9">
        <v>0.8</v>
      </c>
      <c r="G2" s="8">
        <v>1.0</v>
      </c>
      <c r="H2" s="9">
        <v>1.0</v>
      </c>
      <c r="I2" s="8">
        <v>4.0</v>
      </c>
      <c r="J2" s="9">
        <v>0.75</v>
      </c>
      <c r="K2" s="26"/>
    </row>
    <row r="3" ht="60.0" customHeight="1">
      <c r="A3" s="12" t="str">
        <f>IMAGE("https://res.cloudinary.com/dlbhgbxbf/image/upload/v1767894619/EB03-001_jp.png",4,80,60)</f>
        <v/>
      </c>
      <c r="B3" s="13" t="s">
        <v>226</v>
      </c>
      <c r="C3" s="14">
        <v>2.0</v>
      </c>
      <c r="D3" s="14">
        <v>2.0</v>
      </c>
      <c r="E3" s="14">
        <v>0.0</v>
      </c>
      <c r="F3" s="15">
        <v>1.0</v>
      </c>
      <c r="G3" s="14">
        <v>1.0</v>
      </c>
      <c r="H3" s="15">
        <v>1.0</v>
      </c>
      <c r="I3" s="14">
        <v>1.0</v>
      </c>
      <c r="J3" s="15">
        <v>1.0</v>
      </c>
      <c r="K3" s="26"/>
    </row>
    <row r="4" ht="60.0" customHeight="1">
      <c r="A4" s="6" t="str">
        <f>IMAGE("https://res.cloudinary.com/dlbhgbxbf/image/upload/v1767894619/ST29-001_jp.png",4,80,60)</f>
        <v/>
      </c>
      <c r="B4" s="7" t="s">
        <v>25</v>
      </c>
      <c r="C4" s="8">
        <v>2.0</v>
      </c>
      <c r="D4" s="8">
        <v>0.0</v>
      </c>
      <c r="E4" s="8">
        <v>2.0</v>
      </c>
      <c r="F4" s="9">
        <v>0.0</v>
      </c>
      <c r="G4" s="8">
        <v>2.0</v>
      </c>
      <c r="H4" s="9">
        <v>0.0</v>
      </c>
      <c r="I4" s="8">
        <v>0.0</v>
      </c>
      <c r="J4" s="9" t="s">
        <v>341</v>
      </c>
      <c r="K4" s="26"/>
    </row>
    <row r="5" ht="60.0" customHeight="1">
      <c r="A5" s="12" t="str">
        <f>IMAGE("https://res.cloudinary.com/dlbhgbxbf/image/upload/v1767894619/OP07-019_jp.png",4,80,60)</f>
        <v/>
      </c>
      <c r="B5" s="13" t="s">
        <v>76</v>
      </c>
      <c r="C5" s="14">
        <v>2.0</v>
      </c>
      <c r="D5" s="14">
        <v>1.0</v>
      </c>
      <c r="E5" s="14">
        <v>1.0</v>
      </c>
      <c r="F5" s="15">
        <v>0.5</v>
      </c>
      <c r="G5" s="14">
        <v>0.0</v>
      </c>
      <c r="H5" s="15" t="s">
        <v>341</v>
      </c>
      <c r="I5" s="14">
        <v>2.0</v>
      </c>
      <c r="J5" s="15">
        <v>0.5</v>
      </c>
      <c r="K5" s="26"/>
    </row>
    <row r="6" ht="60.0" customHeight="1">
      <c r="A6" s="6" t="str">
        <f>IMAGE("https://res.cloudinary.com/dlbhgbxbf/image/upload/v1767894619/OP06-022_jp.png",4,80,60)</f>
        <v/>
      </c>
      <c r="B6" s="7" t="s">
        <v>96</v>
      </c>
      <c r="C6" s="8">
        <v>2.0</v>
      </c>
      <c r="D6" s="8">
        <v>1.0</v>
      </c>
      <c r="E6" s="8">
        <v>1.0</v>
      </c>
      <c r="F6" s="9">
        <v>0.5</v>
      </c>
      <c r="G6" s="8">
        <v>1.0</v>
      </c>
      <c r="H6" s="9">
        <v>0.0</v>
      </c>
      <c r="I6" s="8">
        <v>1.0</v>
      </c>
      <c r="J6" s="9">
        <v>1.0</v>
      </c>
      <c r="K6" s="26"/>
    </row>
    <row r="7" ht="60.0" customHeight="1">
      <c r="A7" s="12" t="str">
        <f>IMAGE("https://res.cloudinary.com/dlbhgbxbf/image/upload/v1767894619/OP14-079_jp.png",4,80,60)</f>
        <v/>
      </c>
      <c r="B7" s="13" t="s">
        <v>39</v>
      </c>
      <c r="C7" s="14">
        <v>2.0</v>
      </c>
      <c r="D7" s="14">
        <v>2.0</v>
      </c>
      <c r="E7" s="14">
        <v>0.0</v>
      </c>
      <c r="F7" s="15">
        <v>1.0</v>
      </c>
      <c r="G7" s="14">
        <v>1.0</v>
      </c>
      <c r="H7" s="15">
        <v>1.0</v>
      </c>
      <c r="I7" s="14">
        <v>1.0</v>
      </c>
      <c r="J7" s="15">
        <v>1.0</v>
      </c>
      <c r="K7" s="26"/>
    </row>
    <row r="8" ht="60.0" customHeight="1">
      <c r="A8" s="6" t="str">
        <f>IMAGE("https://res.cloudinary.com/dlbhgbxbf/image/upload/v1767894619/OP14-041_jp.png",4,80,60)</f>
        <v/>
      </c>
      <c r="B8" s="7" t="s">
        <v>35</v>
      </c>
      <c r="C8" s="8">
        <v>1.0</v>
      </c>
      <c r="D8" s="8">
        <v>1.0</v>
      </c>
      <c r="E8" s="8">
        <v>0.0</v>
      </c>
      <c r="F8" s="9">
        <v>1.0</v>
      </c>
      <c r="G8" s="8">
        <v>0.0</v>
      </c>
      <c r="H8" s="9" t="s">
        <v>341</v>
      </c>
      <c r="I8" s="8">
        <v>1.0</v>
      </c>
      <c r="J8" s="9">
        <v>1.0</v>
      </c>
      <c r="K8" s="26"/>
    </row>
    <row r="9" ht="60.0" customHeight="1">
      <c r="A9" s="12" t="str">
        <f>IMAGE("https://res.cloudinary.com/dlbhgbxbf/image/upload/v1767894619/OP04-058_jp.png",4,80,60)</f>
        <v/>
      </c>
      <c r="B9" s="13" t="s">
        <v>183</v>
      </c>
      <c r="C9" s="14">
        <v>1.0</v>
      </c>
      <c r="D9" s="14">
        <v>1.0</v>
      </c>
      <c r="E9" s="14">
        <v>0.0</v>
      </c>
      <c r="F9" s="15">
        <v>1.0</v>
      </c>
      <c r="G9" s="14">
        <v>0.0</v>
      </c>
      <c r="H9" s="15" t="s">
        <v>341</v>
      </c>
      <c r="I9" s="14">
        <v>1.0</v>
      </c>
      <c r="J9" s="15">
        <v>1.0</v>
      </c>
      <c r="K9" s="26"/>
    </row>
    <row r="10" ht="60.0" customHeight="1">
      <c r="A10" s="6" t="str">
        <f>IMAGE("https://res.cloudinary.com/dlbhgbxbf/image/upload/v1767894619/OP10-003_jp.png",4,80,60)</f>
        <v/>
      </c>
      <c r="B10" s="7" t="s">
        <v>259</v>
      </c>
      <c r="C10" s="39">
        <v>1.0</v>
      </c>
      <c r="D10" s="39">
        <v>0.0</v>
      </c>
      <c r="E10" s="39">
        <v>1.0</v>
      </c>
      <c r="F10" s="9">
        <v>0.0</v>
      </c>
      <c r="G10" s="39">
        <v>1.0</v>
      </c>
      <c r="H10" s="9">
        <v>0.0</v>
      </c>
      <c r="I10" s="39">
        <v>0.0</v>
      </c>
      <c r="J10" s="9" t="s">
        <v>341</v>
      </c>
    </row>
    <row r="11" ht="60.0" customHeight="1">
      <c r="A11" s="12" t="str">
        <f>IMAGE("https://res.cloudinary.com/dlbhgbxbf/image/upload/v1767894619/OP14-060_jp.png",4,80,60)</f>
        <v/>
      </c>
      <c r="B11" s="13" t="s">
        <v>16</v>
      </c>
      <c r="C11" s="40">
        <v>1.0</v>
      </c>
      <c r="D11" s="40">
        <v>0.0</v>
      </c>
      <c r="E11" s="40">
        <v>1.0</v>
      </c>
      <c r="F11" s="15">
        <v>0.0</v>
      </c>
      <c r="G11" s="40">
        <v>0.0</v>
      </c>
      <c r="H11" s="15" t="s">
        <v>341</v>
      </c>
      <c r="I11" s="40">
        <v>1.0</v>
      </c>
      <c r="J11" s="15">
        <v>0.0</v>
      </c>
    </row>
    <row r="12" ht="60.0" customHeight="1">
      <c r="A12" s="6" t="str">
        <f>IMAGE("https://res.cloudinary.com/dlbhgbxbf/image/upload/v1767894619/OP08-057_jp.png",4,80,60)</f>
        <v/>
      </c>
      <c r="B12" s="7" t="s">
        <v>272</v>
      </c>
      <c r="C12" s="39">
        <v>1.0</v>
      </c>
      <c r="D12" s="39">
        <v>1.0</v>
      </c>
      <c r="E12" s="39">
        <v>0.0</v>
      </c>
      <c r="F12" s="9">
        <v>1.0</v>
      </c>
      <c r="G12" s="39">
        <v>1.0</v>
      </c>
      <c r="H12" s="9">
        <v>1.0</v>
      </c>
      <c r="I12" s="39">
        <v>0.0</v>
      </c>
      <c r="J12" s="9" t="s">
        <v>341</v>
      </c>
    </row>
    <row r="13" ht="60.0" customHeight="1">
      <c r="A13" s="12" t="str">
        <f>IMAGE("https://res.cloudinary.com/dlbhgbxbf/image/upload/v1767894619/OP11-062_jp.png",4,80,60)</f>
        <v/>
      </c>
      <c r="B13" s="13" t="s">
        <v>160</v>
      </c>
      <c r="C13" s="40">
        <v>1.0</v>
      </c>
      <c r="D13" s="40">
        <v>1.0</v>
      </c>
      <c r="E13" s="40">
        <v>0.0</v>
      </c>
      <c r="F13" s="15">
        <v>1.0</v>
      </c>
      <c r="G13" s="40">
        <v>0.0</v>
      </c>
      <c r="H13" s="15" t="s">
        <v>341</v>
      </c>
      <c r="I13" s="40">
        <v>1.0</v>
      </c>
      <c r="J13" s="15">
        <v>1.0</v>
      </c>
    </row>
    <row r="14" ht="60.0" customHeight="1">
      <c r="A14" s="6" t="str">
        <f>IMAGE("https://res.cloudinary.com/dlbhgbxbf/image/upload/v1767894619/OP09-081_jp.png",4,80,60)</f>
        <v/>
      </c>
      <c r="B14" s="7" t="s">
        <v>79</v>
      </c>
      <c r="C14" s="39">
        <v>1.0</v>
      </c>
      <c r="D14" s="39">
        <v>0.0</v>
      </c>
      <c r="E14" s="39">
        <v>1.0</v>
      </c>
      <c r="F14" s="9">
        <v>0.0</v>
      </c>
      <c r="G14" s="39">
        <v>0.0</v>
      </c>
      <c r="H14" s="9" t="s">
        <v>341</v>
      </c>
      <c r="I14" s="39">
        <v>1.0</v>
      </c>
      <c r="J14" s="9">
        <v>0.0</v>
      </c>
    </row>
    <row r="15" ht="60.0" customHeight="1">
      <c r="A15" s="12" t="str">
        <f>IMAGE("https://res.cloudinary.com/dlbhgbxbf/image/upload/v1767894619/OP12-081_jp.png",4,80,60)</f>
        <v/>
      </c>
      <c r="B15" s="13" t="s">
        <v>138</v>
      </c>
      <c r="C15" s="40">
        <v>1.0</v>
      </c>
      <c r="D15" s="40">
        <v>0.0</v>
      </c>
      <c r="E15" s="40">
        <v>1.0</v>
      </c>
      <c r="F15" s="15">
        <v>0.0</v>
      </c>
      <c r="G15" s="40">
        <v>0.0</v>
      </c>
      <c r="H15" s="15" t="s">
        <v>341</v>
      </c>
      <c r="I15" s="40">
        <v>1.0</v>
      </c>
      <c r="J15" s="15">
        <v>0.0</v>
      </c>
    </row>
    <row r="16" ht="60.0" customHeight="1">
      <c r="B16" s="11"/>
      <c r="F16" s="26"/>
      <c r="H16" s="26"/>
      <c r="J16" s="26"/>
    </row>
    <row r="17" ht="60.0" customHeight="1">
      <c r="B17" s="11"/>
      <c r="F17" s="26"/>
      <c r="H17" s="26"/>
      <c r="J17" s="26"/>
    </row>
    <row r="18" ht="60.0" customHeight="1">
      <c r="B18" s="11"/>
      <c r="F18" s="26"/>
      <c r="H18" s="26"/>
      <c r="J18" s="26"/>
    </row>
    <row r="19" ht="60.0" customHeight="1">
      <c r="B19" s="11"/>
      <c r="F19" s="26"/>
      <c r="H19" s="26"/>
      <c r="J19" s="26"/>
    </row>
  </sheetData>
  <conditionalFormatting sqref="F2:F15">
    <cfRule type="cellIs" dxfId="4" priority="1" stopIfTrue="1" operator="equal">
      <formula>"-"</formula>
    </cfRule>
  </conditionalFormatting>
  <conditionalFormatting sqref="F2:F15">
    <cfRule type="cellIs" dxfId="0" priority="2" stopIfTrue="1" operator="lessThanOrEqual">
      <formula>0.39</formula>
    </cfRule>
  </conditionalFormatting>
  <conditionalFormatting sqref="F2:F15">
    <cfRule type="cellIs" dxfId="1" priority="3" stopIfTrue="1" operator="between">
      <formula>0.4</formula>
      <formula>0.49</formula>
    </cfRule>
  </conditionalFormatting>
  <conditionalFormatting sqref="F2:F15">
    <cfRule type="cellIs" dxfId="2" priority="4" stopIfTrue="1" operator="between">
      <formula>0.5</formula>
      <formula>0.6</formula>
    </cfRule>
  </conditionalFormatting>
  <conditionalFormatting sqref="F2:F15">
    <cfRule type="cellIs" dxfId="3" priority="5" stopIfTrue="1" operator="greaterThanOrEqual">
      <formula>0.6</formula>
    </cfRule>
  </conditionalFormatting>
  <conditionalFormatting sqref="H2:H15">
    <cfRule type="cellIs" dxfId="4" priority="6" stopIfTrue="1" operator="equal">
      <formula>"-"</formula>
    </cfRule>
  </conditionalFormatting>
  <conditionalFormatting sqref="H2:H15">
    <cfRule type="cellIs" dxfId="0" priority="7" stopIfTrue="1" operator="lessThanOrEqual">
      <formula>0.39</formula>
    </cfRule>
  </conditionalFormatting>
  <conditionalFormatting sqref="H2:H15">
    <cfRule type="cellIs" dxfId="1" priority="8" stopIfTrue="1" operator="between">
      <formula>0.4</formula>
      <formula>0.49</formula>
    </cfRule>
  </conditionalFormatting>
  <conditionalFormatting sqref="H2:H15">
    <cfRule type="cellIs" dxfId="2" priority="9" stopIfTrue="1" operator="between">
      <formula>0.5</formula>
      <formula>0.6</formula>
    </cfRule>
  </conditionalFormatting>
  <conditionalFormatting sqref="H2:H15">
    <cfRule type="cellIs" dxfId="3" priority="10" stopIfTrue="1" operator="greaterThanOrEqual">
      <formula>0.6</formula>
    </cfRule>
  </conditionalFormatting>
  <conditionalFormatting sqref="J2:J15">
    <cfRule type="cellIs" dxfId="4" priority="11" stopIfTrue="1" operator="equal">
      <formula>"-"</formula>
    </cfRule>
  </conditionalFormatting>
  <conditionalFormatting sqref="J2:J15">
    <cfRule type="cellIs" dxfId="0" priority="12" stopIfTrue="1" operator="lessThanOrEqual">
      <formula>0.39</formula>
    </cfRule>
  </conditionalFormatting>
  <conditionalFormatting sqref="J2:J15">
    <cfRule type="cellIs" dxfId="1" priority="13" stopIfTrue="1" operator="between">
      <formula>0.4</formula>
      <formula>0.49</formula>
    </cfRule>
  </conditionalFormatting>
  <conditionalFormatting sqref="J2:J15">
    <cfRule type="cellIs" dxfId="2" priority="14" stopIfTrue="1" operator="between">
      <formula>0.5</formula>
      <formula>0.6</formula>
    </cfRule>
  </conditionalFormatting>
  <conditionalFormatting sqref="J2:J15">
    <cfRule type="cellIs" dxfId="3" priority="15" stopIfTrue="1" operator="greaterThanOrEqual">
      <formula>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1" max="11" width="12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  <c r="K2" s="26"/>
    </row>
    <row r="3" ht="60.0" customHeight="1">
      <c r="B3" s="11"/>
      <c r="C3" s="25"/>
      <c r="D3" s="25"/>
      <c r="E3" s="25"/>
      <c r="F3" s="26"/>
      <c r="G3" s="25"/>
      <c r="H3" s="26"/>
      <c r="I3" s="25"/>
      <c r="J3" s="26"/>
      <c r="K3" s="26"/>
    </row>
    <row r="4" ht="60.0" customHeight="1">
      <c r="B4" s="11"/>
      <c r="C4" s="25"/>
      <c r="D4" s="25"/>
      <c r="E4" s="25"/>
      <c r="F4" s="26"/>
      <c r="G4" s="25"/>
      <c r="H4" s="26"/>
      <c r="I4" s="25"/>
      <c r="J4" s="26"/>
      <c r="K4" s="26"/>
    </row>
    <row r="5" ht="60.0" customHeight="1">
      <c r="B5" s="11"/>
      <c r="C5" s="25"/>
      <c r="D5" s="25"/>
      <c r="E5" s="25"/>
      <c r="F5" s="26"/>
      <c r="G5" s="25"/>
      <c r="H5" s="26"/>
      <c r="I5" s="25"/>
      <c r="J5" s="26"/>
      <c r="K5" s="26"/>
    </row>
    <row r="6" ht="60.0" customHeight="1">
      <c r="B6" s="11"/>
      <c r="C6" s="25"/>
      <c r="D6" s="25"/>
      <c r="E6" s="25"/>
      <c r="F6" s="26"/>
      <c r="G6" s="25"/>
      <c r="H6" s="26"/>
      <c r="I6" s="25"/>
      <c r="J6" s="26"/>
      <c r="K6" s="26"/>
    </row>
    <row r="7" ht="60.0" customHeight="1">
      <c r="B7" s="11"/>
      <c r="C7" s="25"/>
      <c r="D7" s="25"/>
      <c r="E7" s="25"/>
      <c r="F7" s="26"/>
      <c r="G7" s="25"/>
      <c r="H7" s="26"/>
      <c r="I7" s="25"/>
      <c r="J7" s="26"/>
      <c r="K7" s="26"/>
    </row>
    <row r="8" ht="60.0" customHeight="1">
      <c r="B8" s="11"/>
      <c r="C8" s="25"/>
      <c r="D8" s="25"/>
      <c r="E8" s="25"/>
      <c r="F8" s="26"/>
      <c r="G8" s="25"/>
      <c r="H8" s="26"/>
      <c r="I8" s="25"/>
      <c r="J8" s="26"/>
      <c r="K8" s="26"/>
    </row>
    <row r="9" ht="60.0" customHeight="1">
      <c r="B9" s="11"/>
      <c r="C9" s="25"/>
      <c r="D9" s="25"/>
      <c r="E9" s="25"/>
      <c r="F9" s="26"/>
      <c r="G9" s="25"/>
      <c r="H9" s="26"/>
      <c r="I9" s="25"/>
      <c r="J9" s="26"/>
      <c r="K9" s="26"/>
    </row>
    <row r="10" ht="60.0" customHeight="1">
      <c r="B10" s="11"/>
      <c r="C10" s="25"/>
      <c r="D10" s="25"/>
      <c r="E10" s="25"/>
      <c r="F10" s="26"/>
      <c r="G10" s="25"/>
      <c r="H10" s="26"/>
      <c r="I10" s="25"/>
      <c r="J10" s="26"/>
      <c r="K10" s="26"/>
    </row>
    <row r="11" ht="60.0" customHeight="1">
      <c r="B11" s="11"/>
      <c r="C11" s="25"/>
      <c r="D11" s="25"/>
      <c r="E11" s="25"/>
      <c r="F11" s="26"/>
      <c r="G11" s="25"/>
      <c r="H11" s="26"/>
      <c r="I11" s="25"/>
      <c r="J11" s="26"/>
      <c r="K11" s="26"/>
    </row>
    <row r="12" ht="60.0" customHeight="1">
      <c r="B12" s="11"/>
      <c r="C12" s="25"/>
      <c r="D12" s="25"/>
      <c r="E12" s="25"/>
      <c r="F12" s="26"/>
      <c r="G12" s="25"/>
      <c r="H12" s="26"/>
      <c r="I12" s="25"/>
      <c r="J12" s="26"/>
      <c r="K12" s="26"/>
    </row>
    <row r="13" ht="60.0" customHeight="1">
      <c r="B13" s="11"/>
      <c r="C13" s="25"/>
      <c r="D13" s="25"/>
      <c r="E13" s="25"/>
      <c r="F13" s="26"/>
      <c r="G13" s="25"/>
      <c r="H13" s="26"/>
      <c r="I13" s="25"/>
      <c r="J13" s="26"/>
      <c r="K13" s="26"/>
    </row>
    <row r="14" ht="60.0" customHeight="1">
      <c r="B14" s="11"/>
      <c r="C14" s="25"/>
      <c r="D14" s="25"/>
      <c r="E14" s="25"/>
      <c r="F14" s="26"/>
      <c r="G14" s="25"/>
      <c r="H14" s="26"/>
      <c r="I14" s="25"/>
      <c r="J14" s="26"/>
      <c r="K14" s="26"/>
    </row>
    <row r="15" ht="60.0" customHeight="1">
      <c r="B15" s="11"/>
      <c r="C15" s="25"/>
      <c r="D15" s="25"/>
      <c r="E15" s="25"/>
      <c r="F15" s="26"/>
      <c r="G15" s="25"/>
      <c r="H15" s="26"/>
      <c r="I15" s="25"/>
      <c r="J15" s="26"/>
      <c r="K15" s="26"/>
    </row>
    <row r="16" ht="60.0" customHeight="1">
      <c r="B16" s="11"/>
      <c r="C16" s="25"/>
      <c r="D16" s="25"/>
      <c r="E16" s="25"/>
      <c r="F16" s="26"/>
      <c r="G16" s="25"/>
      <c r="H16" s="26"/>
      <c r="I16" s="25"/>
      <c r="J16" s="26"/>
      <c r="K16" s="26"/>
    </row>
    <row r="17" ht="60.0" customHeight="1">
      <c r="B17" s="11"/>
      <c r="C17" s="25"/>
      <c r="D17" s="25"/>
      <c r="E17" s="25"/>
      <c r="F17" s="26"/>
      <c r="G17" s="25"/>
      <c r="H17" s="26"/>
      <c r="I17" s="25"/>
      <c r="J17" s="26"/>
      <c r="K17" s="26"/>
    </row>
    <row r="18" ht="60.0" customHeight="1">
      <c r="B18" s="11"/>
      <c r="C18" s="25"/>
      <c r="D18" s="25"/>
      <c r="E18" s="25"/>
      <c r="F18" s="26"/>
      <c r="G18" s="25"/>
      <c r="H18" s="26"/>
      <c r="I18" s="25"/>
      <c r="J18" s="26"/>
      <c r="K18" s="26"/>
    </row>
    <row r="19" ht="60.0" customHeight="1">
      <c r="B19" s="11"/>
      <c r="C19" s="25"/>
      <c r="D19" s="25"/>
      <c r="E19" s="25"/>
      <c r="F19" s="26"/>
      <c r="G19" s="25"/>
      <c r="H19" s="26"/>
      <c r="I19" s="25"/>
      <c r="J19" s="26"/>
      <c r="K19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</row>
    <row r="3" ht="60.0" customHeight="1">
      <c r="B3" s="11"/>
      <c r="C3" s="25"/>
      <c r="D3" s="25"/>
      <c r="E3" s="25"/>
      <c r="F3" s="26"/>
      <c r="G3" s="25"/>
      <c r="H3" s="26"/>
      <c r="I3" s="25"/>
      <c r="J3" s="26"/>
    </row>
    <row r="4" ht="60.0" customHeight="1">
      <c r="B4" s="11"/>
      <c r="C4" s="25"/>
      <c r="D4" s="25"/>
      <c r="E4" s="25"/>
      <c r="F4" s="26"/>
      <c r="G4" s="25"/>
      <c r="H4" s="26"/>
      <c r="I4" s="25"/>
      <c r="J4" s="26"/>
    </row>
    <row r="5" ht="60.0" customHeight="1">
      <c r="B5" s="11"/>
      <c r="C5" s="25"/>
      <c r="D5" s="25"/>
      <c r="E5" s="25"/>
      <c r="F5" s="26"/>
      <c r="G5" s="25"/>
      <c r="H5" s="26"/>
      <c r="I5" s="25"/>
      <c r="J5" s="26"/>
    </row>
    <row r="6" ht="60.0" customHeight="1">
      <c r="B6" s="11"/>
      <c r="C6" s="25"/>
      <c r="D6" s="25"/>
      <c r="E6" s="25"/>
      <c r="F6" s="26"/>
      <c r="G6" s="25"/>
      <c r="H6" s="26"/>
      <c r="I6" s="25"/>
      <c r="J6" s="26"/>
    </row>
    <row r="7" ht="60.0" customHeight="1">
      <c r="B7" s="11"/>
      <c r="C7" s="25"/>
      <c r="D7" s="25"/>
      <c r="E7" s="25"/>
      <c r="F7" s="26"/>
      <c r="G7" s="25"/>
      <c r="H7" s="26"/>
      <c r="I7" s="25"/>
      <c r="J7" s="26"/>
    </row>
    <row r="8" ht="60.0" customHeight="1">
      <c r="B8" s="11"/>
      <c r="C8" s="25"/>
      <c r="D8" s="25"/>
      <c r="E8" s="25"/>
      <c r="F8" s="26"/>
      <c r="G8" s="25"/>
      <c r="H8" s="26"/>
      <c r="I8" s="25"/>
      <c r="J8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</row>
    <row r="3" ht="60.0" customHeight="1">
      <c r="B3" s="11"/>
      <c r="C3" s="25"/>
      <c r="D3" s="25"/>
      <c r="E3" s="25"/>
      <c r="F3" s="26"/>
      <c r="G3" s="25"/>
      <c r="H3" s="26"/>
      <c r="I3" s="25"/>
      <c r="J3" s="26"/>
    </row>
    <row r="4" ht="60.0" customHeight="1">
      <c r="B4" s="11"/>
      <c r="C4" s="25"/>
      <c r="D4" s="25"/>
      <c r="E4" s="25"/>
      <c r="F4" s="26"/>
      <c r="G4" s="25"/>
      <c r="H4" s="26"/>
      <c r="I4" s="25"/>
      <c r="J4" s="26"/>
    </row>
    <row r="5" ht="60.0" customHeight="1">
      <c r="B5" s="11"/>
      <c r="C5" s="25"/>
      <c r="D5" s="25"/>
      <c r="E5" s="25"/>
      <c r="F5" s="26"/>
      <c r="G5" s="25"/>
      <c r="H5" s="26"/>
      <c r="I5" s="25"/>
      <c r="J5" s="26"/>
    </row>
    <row r="6" ht="60.0" customHeight="1">
      <c r="B6" s="11"/>
      <c r="C6" s="25"/>
      <c r="D6" s="25"/>
      <c r="E6" s="25"/>
      <c r="F6" s="26"/>
      <c r="G6" s="25"/>
      <c r="H6" s="26"/>
      <c r="I6" s="25"/>
      <c r="J6" s="26"/>
    </row>
    <row r="7" ht="60.0" customHeight="1">
      <c r="B7" s="11"/>
      <c r="C7" s="25"/>
      <c r="D7" s="25"/>
      <c r="E7" s="25"/>
      <c r="F7" s="26"/>
      <c r="G7" s="25"/>
      <c r="H7" s="26"/>
      <c r="I7" s="25"/>
      <c r="J7" s="26"/>
    </row>
    <row r="8" ht="60.0" customHeight="1">
      <c r="B8" s="11"/>
      <c r="C8" s="25"/>
      <c r="D8" s="25"/>
      <c r="E8" s="25"/>
      <c r="F8" s="26"/>
      <c r="G8" s="25"/>
      <c r="H8" s="26"/>
      <c r="I8" s="25"/>
      <c r="J8" s="26"/>
    </row>
    <row r="9" ht="60.0" customHeight="1">
      <c r="B9" s="11"/>
      <c r="C9" s="25"/>
      <c r="D9" s="25"/>
      <c r="E9" s="25"/>
      <c r="F9" s="26"/>
      <c r="G9" s="25"/>
      <c r="H9" s="26"/>
      <c r="I9" s="25"/>
      <c r="J9" s="26"/>
    </row>
    <row r="10" ht="60.0" customHeight="1">
      <c r="B10" s="11"/>
      <c r="C10" s="25"/>
      <c r="D10" s="25"/>
      <c r="E10" s="25"/>
      <c r="F10" s="26"/>
      <c r="G10" s="25"/>
      <c r="H10" s="26"/>
      <c r="I10" s="25"/>
      <c r="J10" s="26"/>
    </row>
    <row r="11" ht="60.0" customHeight="1">
      <c r="B11" s="11"/>
      <c r="C11" s="25"/>
      <c r="D11" s="25"/>
      <c r="E11" s="25"/>
      <c r="F11" s="26"/>
      <c r="G11" s="25"/>
      <c r="H11" s="26"/>
      <c r="I11" s="25"/>
      <c r="J11" s="26"/>
    </row>
    <row r="12" ht="60.0" customHeight="1">
      <c r="B12" s="11"/>
      <c r="C12" s="25"/>
      <c r="D12" s="25"/>
      <c r="E12" s="25"/>
      <c r="F12" s="26"/>
      <c r="G12" s="25"/>
      <c r="H12" s="26"/>
      <c r="I12" s="25"/>
      <c r="J12" s="26"/>
    </row>
    <row r="13" ht="60.0" customHeight="1">
      <c r="B13" s="11"/>
      <c r="C13" s="25"/>
      <c r="D13" s="25"/>
      <c r="E13" s="25"/>
      <c r="F13" s="26"/>
      <c r="G13" s="25"/>
      <c r="H13" s="26"/>
      <c r="I13" s="25"/>
      <c r="J13" s="26"/>
    </row>
    <row r="14" ht="60.0" customHeight="1">
      <c r="B14" s="11"/>
      <c r="C14" s="25"/>
      <c r="D14" s="25"/>
      <c r="E14" s="25"/>
      <c r="F14" s="26"/>
      <c r="G14" s="25"/>
      <c r="H14" s="26"/>
      <c r="I14" s="25"/>
      <c r="J14" s="26"/>
    </row>
    <row r="15" ht="60.0" customHeight="1">
      <c r="B15" s="11"/>
      <c r="C15" s="25"/>
      <c r="D15" s="25"/>
      <c r="E15" s="25"/>
      <c r="F15" s="26"/>
      <c r="G15" s="25"/>
      <c r="H15" s="26"/>
      <c r="I15" s="25"/>
      <c r="J15" s="26"/>
    </row>
    <row r="16" ht="60.0" customHeight="1">
      <c r="B16" s="11"/>
      <c r="C16" s="25"/>
      <c r="D16" s="25"/>
      <c r="E16" s="25"/>
      <c r="F16" s="26"/>
      <c r="G16" s="25"/>
      <c r="H16" s="26"/>
      <c r="I16" s="25"/>
      <c r="J16" s="26"/>
    </row>
    <row r="17" ht="60.0" customHeight="1">
      <c r="B17" s="11"/>
      <c r="C17" s="25"/>
      <c r="D17" s="25"/>
      <c r="E17" s="25"/>
      <c r="F17" s="26"/>
      <c r="G17" s="25"/>
      <c r="H17" s="26"/>
      <c r="I17" s="25"/>
      <c r="J17" s="26"/>
    </row>
    <row r="18" ht="60.0" customHeight="1">
      <c r="B18" s="11"/>
      <c r="C18" s="25"/>
      <c r="D18" s="25"/>
      <c r="E18" s="25"/>
      <c r="F18" s="26"/>
      <c r="G18" s="25"/>
      <c r="H18" s="26"/>
      <c r="I18" s="25"/>
      <c r="J18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</row>
    <row r="3" ht="60.0" customHeight="1">
      <c r="B3" s="11"/>
      <c r="C3" s="25"/>
      <c r="D3" s="25"/>
      <c r="E3" s="25"/>
      <c r="F3" s="26"/>
      <c r="G3" s="25"/>
      <c r="H3" s="26"/>
      <c r="I3" s="25"/>
      <c r="J3" s="26"/>
    </row>
    <row r="4" ht="60.0" customHeight="1">
      <c r="B4" s="11"/>
      <c r="C4" s="25"/>
      <c r="D4" s="25"/>
      <c r="E4" s="25"/>
      <c r="F4" s="26"/>
      <c r="G4" s="25"/>
      <c r="H4" s="26"/>
      <c r="I4" s="25"/>
      <c r="J4" s="26"/>
    </row>
    <row r="5" ht="60.0" customHeight="1">
      <c r="B5" s="11"/>
      <c r="C5" s="25"/>
      <c r="D5" s="25"/>
      <c r="E5" s="25"/>
      <c r="F5" s="26"/>
      <c r="G5" s="25"/>
      <c r="H5" s="26"/>
      <c r="I5" s="25"/>
      <c r="J5" s="26"/>
    </row>
    <row r="6" ht="60.0" customHeight="1">
      <c r="B6" s="11"/>
      <c r="C6" s="25"/>
      <c r="D6" s="25"/>
      <c r="E6" s="25"/>
      <c r="F6" s="26"/>
      <c r="G6" s="25"/>
      <c r="H6" s="26"/>
      <c r="I6" s="25"/>
      <c r="J6" s="26"/>
    </row>
    <row r="7" ht="60.0" customHeight="1">
      <c r="B7" s="11"/>
      <c r="C7" s="25"/>
      <c r="D7" s="25"/>
      <c r="E7" s="25"/>
      <c r="F7" s="26"/>
      <c r="G7" s="25"/>
      <c r="H7" s="26"/>
      <c r="I7" s="25"/>
      <c r="J7" s="26"/>
    </row>
    <row r="8" ht="60.0" customHeight="1">
      <c r="B8" s="11"/>
      <c r="C8" s="25"/>
      <c r="D8" s="25"/>
      <c r="E8" s="25"/>
      <c r="F8" s="26"/>
      <c r="G8" s="25"/>
      <c r="H8" s="26"/>
      <c r="I8" s="25"/>
      <c r="J8" s="26"/>
    </row>
    <row r="9" ht="60.0" customHeight="1">
      <c r="B9" s="11"/>
      <c r="C9" s="25"/>
      <c r="D9" s="25"/>
      <c r="E9" s="25"/>
      <c r="F9" s="26"/>
      <c r="G9" s="25"/>
      <c r="H9" s="26"/>
      <c r="I9" s="25"/>
      <c r="J9" s="26"/>
    </row>
    <row r="10" ht="60.0" customHeight="1">
      <c r="B10" s="11"/>
      <c r="C10" s="25"/>
      <c r="D10" s="25"/>
      <c r="E10" s="25"/>
      <c r="F10" s="26"/>
      <c r="G10" s="25"/>
      <c r="H10" s="26"/>
      <c r="I10" s="25"/>
      <c r="J10" s="26"/>
    </row>
    <row r="11" ht="60.0" customHeight="1">
      <c r="B11" s="11"/>
      <c r="C11" s="25"/>
      <c r="D11" s="25"/>
      <c r="E11" s="25"/>
      <c r="F11" s="26"/>
      <c r="G11" s="25"/>
      <c r="H11" s="26"/>
      <c r="I11" s="25"/>
      <c r="J11" s="26"/>
    </row>
    <row r="12" ht="60.0" customHeight="1">
      <c r="B12" s="11"/>
      <c r="C12" s="25"/>
      <c r="D12" s="25"/>
      <c r="E12" s="25"/>
      <c r="F12" s="26"/>
      <c r="G12" s="25"/>
      <c r="H12" s="26"/>
      <c r="I12" s="25"/>
      <c r="J12" s="26"/>
    </row>
    <row r="13" ht="60.0" customHeight="1">
      <c r="B13" s="11"/>
      <c r="C13" s="25"/>
      <c r="D13" s="25"/>
      <c r="E13" s="25"/>
      <c r="F13" s="26"/>
      <c r="G13" s="25"/>
      <c r="H13" s="26"/>
      <c r="I13" s="25"/>
      <c r="J13" s="26"/>
    </row>
    <row r="14" ht="60.0" customHeight="1">
      <c r="B14" s="11"/>
      <c r="C14" s="25"/>
      <c r="D14" s="25"/>
      <c r="E14" s="25"/>
      <c r="F14" s="26"/>
      <c r="G14" s="25"/>
      <c r="H14" s="26"/>
      <c r="I14" s="25"/>
      <c r="J14" s="26"/>
    </row>
    <row r="15" ht="60.0" customHeight="1">
      <c r="B15" s="11"/>
      <c r="C15" s="25"/>
      <c r="D15" s="25"/>
      <c r="E15" s="25"/>
      <c r="F15" s="26"/>
      <c r="G15" s="25"/>
      <c r="H15" s="26"/>
      <c r="I15" s="25"/>
      <c r="J15" s="26"/>
    </row>
    <row r="16" ht="60.0" customHeight="1">
      <c r="B16" s="11"/>
      <c r="C16" s="25"/>
      <c r="D16" s="25"/>
      <c r="E16" s="25"/>
      <c r="F16" s="26"/>
      <c r="G16" s="25"/>
      <c r="H16" s="26"/>
      <c r="I16" s="25"/>
      <c r="J16" s="26"/>
    </row>
    <row r="17" ht="60.0" customHeight="1">
      <c r="B17" s="11"/>
      <c r="C17" s="25"/>
      <c r="D17" s="25"/>
      <c r="E17" s="25"/>
      <c r="F17" s="26"/>
      <c r="G17" s="25"/>
      <c r="H17" s="26"/>
      <c r="I17" s="25"/>
      <c r="J17" s="26"/>
    </row>
    <row r="18" ht="60.0" customHeight="1">
      <c r="B18" s="11"/>
      <c r="C18" s="25"/>
      <c r="D18" s="25"/>
      <c r="E18" s="25"/>
      <c r="F18" s="26"/>
      <c r="G18" s="25"/>
      <c r="H18" s="26"/>
      <c r="I18" s="25"/>
      <c r="J18" s="26"/>
    </row>
    <row r="19" ht="60.0" customHeight="1">
      <c r="B19" s="11"/>
      <c r="C19" s="25"/>
      <c r="D19" s="25"/>
      <c r="E19" s="25"/>
      <c r="F19" s="26"/>
      <c r="G19" s="25"/>
      <c r="H19" s="26"/>
      <c r="I19" s="25"/>
      <c r="J19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</row>
    <row r="3" ht="60.0" customHeight="1">
      <c r="B3" s="11"/>
      <c r="C3" s="25"/>
      <c r="D3" s="25"/>
      <c r="E3" s="25"/>
      <c r="F3" s="26"/>
      <c r="G3" s="25"/>
      <c r="H3" s="26"/>
      <c r="I3" s="25"/>
      <c r="J3" s="26"/>
    </row>
    <row r="4" ht="60.0" customHeight="1">
      <c r="B4" s="11"/>
      <c r="F4" s="26"/>
      <c r="H4" s="26"/>
      <c r="J4" s="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ht="60.0" customHeight="1">
      <c r="B2" s="11"/>
      <c r="C2" s="25"/>
      <c r="D2" s="25"/>
      <c r="E2" s="25"/>
      <c r="F2" s="26"/>
      <c r="G2" s="25"/>
      <c r="H2" s="26"/>
      <c r="I2" s="25"/>
      <c r="J2" s="26"/>
    </row>
  </sheetData>
  <drawing r:id="rId1"/>
</worksheet>
</file>
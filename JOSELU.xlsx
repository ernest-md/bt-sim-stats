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ANSIONES" sheetId="1" r:id="rId5"/>
    <sheet state="visible" name="RESUMEN" sheetId="2" r:id="rId6"/>
    <sheet state="hidden" name="RAW_MATCHES" sheetId="3" r:id="rId7"/>
    <sheet state="visible" name="Nefeltari Vivi (EB03-001)" sheetId="4" r:id="rId8"/>
    <sheet state="visible" name="Sabo (OP13-004)" sheetId="5" r:id="rId9"/>
    <sheet state="visible" name="Donquixote Doflamingo (OP14-060" sheetId="6" r:id="rId10"/>
    <sheet state="visible" name="Portgas.D.Ace (OP13-002)" sheetId="7" r:id="rId11"/>
    <sheet state="visible" name="Kuzan (OP12-040)" sheetId="8" r:id="rId12"/>
  </sheets>
  <definedNames/>
  <calcPr/>
</workbook>
</file>

<file path=xl/sharedStrings.xml><?xml version="1.0" encoding="utf-8"?>
<sst xmlns="http://schemas.openxmlformats.org/spreadsheetml/2006/main" count="678" uniqueCount="200">
  <si>
    <t>Nombre</t>
  </si>
  <si>
    <t>Inicio</t>
  </si>
  <si>
    <t>Fin</t>
  </si>
  <si>
    <t>OP14</t>
  </si>
  <si>
    <t>OP14 + EB03</t>
  </si>
  <si>
    <t>OP15</t>
  </si>
  <si>
    <t>Image</t>
  </si>
  <si>
    <t>Leader</t>
  </si>
  <si>
    <t>Partidas</t>
  </si>
  <si>
    <t>Victorias</t>
  </si>
  <si>
    <t>Derrotas</t>
  </si>
  <si>
    <t>WR</t>
  </si>
  <si>
    <t>Fav</t>
  </si>
  <si>
    <t>Desf</t>
  </si>
  <si>
    <t>EXPANSIÓN</t>
  </si>
  <si>
    <t>Sabo</t>
  </si>
  <si>
    <t>Nefeltari Vivi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</si>
  <si>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</si>
  <si>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</si>
  <si>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t>Donquixote Doflamingo</t>
  </si>
  <si>
    <r>
      <rPr>
        <rFont val="Arial"/>
        <color rgb="FF93C47D"/>
      </rPr>
      <t>VICTORIAS:</t>
    </r>
    <r>
      <rPr>
        <rFont val="Arial"/>
        <color theme="1"/>
      </rPr>
      <t xml:space="preserve"> 10
PARTIDAS: 17</t>
    </r>
  </si>
  <si>
    <r>
      <rPr>
        <rFont val="Arial"/>
        <color rgb="FFEA9999"/>
      </rPr>
      <t>DERROTAS:</t>
    </r>
    <r>
      <rPr>
        <rFont val="Arial"/>
        <color theme="1"/>
      </rPr>
      <t xml:space="preserve"> 7
PARTIDAS: 17</t>
    </r>
  </si>
  <si>
    <t>Portgas.D.Ace</t>
  </si>
  <si>
    <r>
      <rPr>
        <rFont val="Arial"/>
        <color rgb="FF93C47D"/>
      </rPr>
      <t>VICTORIAS:</t>
    </r>
    <r>
      <rPr>
        <rFont val="Arial"/>
        <color theme="1"/>
      </rPr>
      <t xml:space="preserve"> 8
PARTIDAS: 12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</si>
  <si>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6</t>
    </r>
  </si>
  <si>
    <t>Kuzan</t>
  </si>
  <si>
    <t>-</t>
  </si>
  <si>
    <r>
      <rPr>
        <rFont val="Arial"/>
        <color rgb="FF93C47D"/>
      </rPr>
      <t>VICTORIAS:</t>
    </r>
    <r>
      <rPr>
        <rFont val="Arial"/>
        <color theme="1"/>
      </rPr>
      <t xml:space="preserve"> 7
PARTIDAS: 9</t>
    </r>
  </si>
  <si>
    <r>
      <rPr>
        <rFont val="Arial"/>
        <color rgb="FFEA9999"/>
      </rPr>
      <t>DERROTAS:</t>
    </r>
    <r>
      <rPr>
        <rFont val="Arial"/>
        <color theme="1"/>
      </rPr>
      <t xml:space="preserve"> 4
PARTIDAS: 12</t>
    </r>
  </si>
  <si>
    <r>
      <rPr>
        <rFont val="Arial"/>
        <color rgb="FF93C47D"/>
      </rPr>
      <t>VICTORIAS:</t>
    </r>
    <r>
      <rPr>
        <rFont val="Arial"/>
        <color theme="1"/>
      </rPr>
      <t xml:space="preserve"> 6
PARTIDAS: 7</t>
    </r>
  </si>
  <si>
    <r>
      <rPr>
        <rFont val="Arial"/>
        <color rgb="FFEA9999"/>
      </rPr>
      <t>DERROTAS:</t>
    </r>
    <r>
      <rPr>
        <rFont val="Arial"/>
        <color theme="1"/>
      </rPr>
      <t xml:space="preserve"> 3
PARTIDAS: 7</t>
    </r>
  </si>
  <si>
    <t>Date</t>
  </si>
  <si>
    <t>LeaderName</t>
  </si>
  <si>
    <t>OppLeader</t>
  </si>
  <si>
    <t>OppLeaderName</t>
  </si>
  <si>
    <t>Win</t>
  </si>
  <si>
    <t>First</t>
  </si>
  <si>
    <t>Fri, 27 Feb 2026 09:38:08 GMT</t>
  </si>
  <si>
    <t>EB03-001</t>
  </si>
  <si>
    <t>OP06-042</t>
  </si>
  <si>
    <t>Vinsmoke Reiju</t>
  </si>
  <si>
    <t>Fri, 27 Feb 2026 09:27:25 GMT</t>
  </si>
  <si>
    <t>OP08-021</t>
  </si>
  <si>
    <t>Carrot</t>
  </si>
  <si>
    <t>Fri, 27 Feb 2026 09:13:33 GMT</t>
  </si>
  <si>
    <t>Thu, 26 Feb 2026 19:17:40 GMT</t>
  </si>
  <si>
    <t>Thu, 26 Feb 2026 19:01:12 GMT</t>
  </si>
  <si>
    <t>OP11-022</t>
  </si>
  <si>
    <t>Shirahoshi</t>
  </si>
  <si>
    <t>Thu, 26 Feb 2026 18:55:29 GMT</t>
  </si>
  <si>
    <t>OP11-041</t>
  </si>
  <si>
    <t>Nami</t>
  </si>
  <si>
    <t>Thu, 26 Feb 2026 18:43:44 GMT</t>
  </si>
  <si>
    <t>Thu, 26 Feb 2026 18:40:06 GMT</t>
  </si>
  <si>
    <t>OP09-022</t>
  </si>
  <si>
    <t>Lim</t>
  </si>
  <si>
    <t>Thu, 26 Feb 2026 14:58:07 GMT</t>
  </si>
  <si>
    <t>ST11-001</t>
  </si>
  <si>
    <t>Uta</t>
  </si>
  <si>
    <t>Thu, 26 Feb 2026 14:48:18 GMT</t>
  </si>
  <si>
    <t>OP07-019</t>
  </si>
  <si>
    <t>Jewelry Bonney</t>
  </si>
  <si>
    <t>Wed, 25 Feb 2026 21:19:22 GMT</t>
  </si>
  <si>
    <t>OP11-001</t>
  </si>
  <si>
    <t>Koby</t>
  </si>
  <si>
    <t>Tue, 24 Feb 2026 20:33:16 GMT</t>
  </si>
  <si>
    <t>OP13-004</t>
  </si>
  <si>
    <t>Tue, 24 Feb 2026 20:18:34 GMT</t>
  </si>
  <si>
    <t>Tue, 24 Feb 2026 20:08:03 GMT</t>
  </si>
  <si>
    <t>Tue, 24 Feb 2026 19:34:56 GMT</t>
  </si>
  <si>
    <t>Tue, 24 Feb 2026 19:21:22 GMT</t>
  </si>
  <si>
    <t>OP12-081</t>
  </si>
  <si>
    <t>Koala</t>
  </si>
  <si>
    <t>Tue, 24 Feb 2026 19:14:45 GMT</t>
  </si>
  <si>
    <t>Tue, 24 Feb 2026 19:11:32 GMT</t>
  </si>
  <si>
    <t>OP14-060</t>
  </si>
  <si>
    <t>OP14-020</t>
  </si>
  <si>
    <t>Dracule Mihawk</t>
  </si>
  <si>
    <t>Mon, 23 Feb 2026 21:42:38 GMT</t>
  </si>
  <si>
    <t>OP13-002</t>
  </si>
  <si>
    <t>OP14-079</t>
  </si>
  <si>
    <t>Crocodile</t>
  </si>
  <si>
    <t>Mon, 23 Feb 2026 21:25:29 GMT</t>
  </si>
  <si>
    <t>Mon, 23 Feb 2026 21:09:05 GMT</t>
  </si>
  <si>
    <t>Mon, 23 Feb 2026 20:20:22 GMT</t>
  </si>
  <si>
    <t>Mon, 23 Feb 2026 20:10:13 GMT</t>
  </si>
  <si>
    <t>Mon, 23 Feb 2026 20:00:26 GMT</t>
  </si>
  <si>
    <t>Mon, 23 Feb 2026 19:52:56 GMT</t>
  </si>
  <si>
    <t>Mon, 23 Feb 2026 19:00:19 GMT</t>
  </si>
  <si>
    <t>Mon, 23 Feb 2026 14:24:23 GMT</t>
  </si>
  <si>
    <t>ST29-001</t>
  </si>
  <si>
    <t>Monkey D. Luffy</t>
  </si>
  <si>
    <t>Sun, 22 Feb 2026 19:04:52 GMT</t>
  </si>
  <si>
    <t>Sun, 22 Feb 2026 18:46:31 GMT</t>
  </si>
  <si>
    <t>OP14-041</t>
  </si>
  <si>
    <t>Boa Hancock</t>
  </si>
  <si>
    <t>Sun, 22 Feb 2026 18:35:15 GMT</t>
  </si>
  <si>
    <t>Sun, 22 Feb 2026 11:11:22 GMT</t>
  </si>
  <si>
    <t>Sun, 22 Feb 2026 10:31:44 GMT</t>
  </si>
  <si>
    <t>Fri, 20 Feb 2026 21:08:05 GMT</t>
  </si>
  <si>
    <t>Fri, 20 Feb 2026 20:56:29 GMT</t>
  </si>
  <si>
    <t>Fri, 20 Feb 2026 20:49:18 GMT</t>
  </si>
  <si>
    <t>OP07-097</t>
  </si>
  <si>
    <t>Vegapunk</t>
  </si>
  <si>
    <t>Fri, 20 Feb 2026 20:44:04 GMT</t>
  </si>
  <si>
    <t>Fri, 20 Feb 2026 20:37:54 GMT</t>
  </si>
  <si>
    <t>OP06-022</t>
  </si>
  <si>
    <t>Yamato</t>
  </si>
  <si>
    <t>Fri, 20 Feb 2026 20:23:43 GMT</t>
  </si>
  <si>
    <t>Fri, 20 Feb 2026 20:08:54 GMT</t>
  </si>
  <si>
    <t>Fri, 20 Feb 2026 19:59:00 GMT</t>
  </si>
  <si>
    <t>Fri, 20 Feb 2026 19:33:34 GMT</t>
  </si>
  <si>
    <t>Fri, 20 Feb 2026 19:23:50 GMT</t>
  </si>
  <si>
    <t>Fri, 20 Feb 2026 19:15:34 GMT</t>
  </si>
  <si>
    <t>OP12-041</t>
  </si>
  <si>
    <t>Sanji</t>
  </si>
  <si>
    <t>Fri, 20 Feb 2026 19:05:39 GMT</t>
  </si>
  <si>
    <t>Fri, 20 Feb 2026 18:56:50 GMT</t>
  </si>
  <si>
    <t>Fri, 20 Feb 2026 18:05:41 GMT</t>
  </si>
  <si>
    <t>Fri, 20 Feb 2026 17:25:35 GMT</t>
  </si>
  <si>
    <t>Thu, 19 Feb 2026 23:13:00 GMT</t>
  </si>
  <si>
    <t>Thu, 19 Feb 2026 22:56:42 GMT</t>
  </si>
  <si>
    <t>Thu, 19 Feb 2026 22:44:57 GMT</t>
  </si>
  <si>
    <t>Thu, 19 Feb 2026 22:35:11 GMT</t>
  </si>
  <si>
    <t>Thu, 19 Feb 2026 22:21:17 GMT</t>
  </si>
  <si>
    <t>Thu, 19 Feb 2026 22:15:25 GMT</t>
  </si>
  <si>
    <t>Thu, 19 Feb 2026 19:48:42 GMT</t>
  </si>
  <si>
    <t>Thu, 19 Feb 2026 19:24:51 GMT</t>
  </si>
  <si>
    <t>Thu, 19 Feb 2026 19:15:40 GMT</t>
  </si>
  <si>
    <t>Thu, 19 Feb 2026 18:59:48 GMT</t>
  </si>
  <si>
    <t>EB04-001</t>
  </si>
  <si>
    <t>Wed, 18 Feb 2026 08:40:48 GMT</t>
  </si>
  <si>
    <t>Wed, 18 Feb 2026 08:31:53 GMT</t>
  </si>
  <si>
    <t>Thu, 12 Feb 2026 19:26:41 GMT</t>
  </si>
  <si>
    <t>Thu, 12 Feb 2026 19:16:11 GMT</t>
  </si>
  <si>
    <t>Thu, 12 Feb 2026 19:02:26 GMT</t>
  </si>
  <si>
    <t>Thu, 12 Feb 2026 15:31:26 GMT</t>
  </si>
  <si>
    <t>OP12-020</t>
  </si>
  <si>
    <t>Roronoa Zoro</t>
  </si>
  <si>
    <t>Thu, 12 Feb 2026 15:14:52 GMT</t>
  </si>
  <si>
    <t>OP09-001</t>
  </si>
  <si>
    <t>Shanks</t>
  </si>
  <si>
    <t>Thu, 12 Feb 2026 13:51:52 GMT</t>
  </si>
  <si>
    <t>Thu, 12 Feb 2026 13:42:53 GMT</t>
  </si>
  <si>
    <t>Thu, 12 Feb 2026 12:25:48 GMT</t>
  </si>
  <si>
    <t>OP13-079</t>
  </si>
  <si>
    <t>Imu</t>
  </si>
  <si>
    <t>Thu, 12 Feb 2026 12:13:21 GMT</t>
  </si>
  <si>
    <t>OP14-080</t>
  </si>
  <si>
    <t>Gecko Moria</t>
  </si>
  <si>
    <t>Thu, 12 Feb 2026 10:33:56 GMT</t>
  </si>
  <si>
    <t>Thu, 12 Feb 2026 10:24:29 GMT</t>
  </si>
  <si>
    <t>Thu, 12 Feb 2026 10:12:52 GMT</t>
  </si>
  <si>
    <t>OP07-059</t>
  </si>
  <si>
    <t>Foxy</t>
  </si>
  <si>
    <t>Thu, 12 Feb 2026 10:07:05 GMT</t>
  </si>
  <si>
    <t>Thu, 12 Feb 2026 09:51:33 GMT</t>
  </si>
  <si>
    <t>Thu, 12 Feb 2026 09:07:36 GMT</t>
  </si>
  <si>
    <t>OP11-040</t>
  </si>
  <si>
    <t>Monkey.D.Luffy</t>
  </si>
  <si>
    <t>Thu, 12 Feb 2026 08:53:44 GMT</t>
  </si>
  <si>
    <t>Wed, 11 Feb 2026 21:47:48 GMT</t>
  </si>
  <si>
    <t>Wed, 11 Feb 2026 21:34:43 GMT</t>
  </si>
  <si>
    <t>Tue, 10 Feb 2026 15:46:55 GMT</t>
  </si>
  <si>
    <t>Tue, 10 Feb 2026 15:37:52 GMT</t>
  </si>
  <si>
    <t>Tue, 10 Feb 2026 15:24:50 GMT</t>
  </si>
  <si>
    <t>Tue, 10 Feb 2026 07:38:55 GMT</t>
  </si>
  <si>
    <t>Mon, 09 Feb 2026 19:54:03 GMT</t>
  </si>
  <si>
    <t>Mon, 09 Feb 2026 19:34:31 GMT</t>
  </si>
  <si>
    <t>OP09-042</t>
  </si>
  <si>
    <t>Buggy</t>
  </si>
  <si>
    <t>Mon, 09 Feb 2026 15:52:17 GMT</t>
  </si>
  <si>
    <t>Mon, 09 Feb 2026 15:42:09 GMT</t>
  </si>
  <si>
    <t>Mon, 09 Feb 2026 15:32:39 GMT</t>
  </si>
  <si>
    <t>OP14-040</t>
  </si>
  <si>
    <t>Jinbe</t>
  </si>
  <si>
    <t>Mon, 09 Feb 2026 15:23:54 GMT</t>
  </si>
  <si>
    <t>Mon, 09 Feb 2026 10:34:02 GMT</t>
  </si>
  <si>
    <t>Mon, 09 Feb 2026 10:18:27 GMT</t>
  </si>
  <si>
    <t>Mon, 09 Feb 2026 09:32:21 GMT</t>
  </si>
  <si>
    <t>OP12-061</t>
  </si>
  <si>
    <t>Donquixote Rosinante</t>
  </si>
  <si>
    <t>Fri, 06 Feb 2026 19:15:16 GMT</t>
  </si>
  <si>
    <t>Fri, 06 Feb 2026 18:07:10 GMT</t>
  </si>
  <si>
    <t>Fri, 06 Feb 2026 17:53:03 GMT</t>
  </si>
  <si>
    <t>Fri, 06 Feb 2026 17:35:06 GMT</t>
  </si>
  <si>
    <t>Fri, 06 Feb 2026 13:11:27 GMT</t>
  </si>
  <si>
    <t>OP12-040</t>
  </si>
  <si>
    <t>OP13-003</t>
  </si>
  <si>
    <t>Gol.D.Roger</t>
  </si>
  <si>
    <t>Thu, 05 Feb 2026 21:21:17 GMT</t>
  </si>
  <si>
    <t>OP09-081</t>
  </si>
  <si>
    <t>Marshall.D.Teach</t>
  </si>
  <si>
    <t>Thu, 05 Feb 2026 20:57:04 GMT</t>
  </si>
  <si>
    <t>Thu, 05 Feb 2026 20:33:24 GMT</t>
  </si>
  <si>
    <t>Tue, 03 Feb 2026 20:38:59 GMT</t>
  </si>
  <si>
    <t>Tue, 03 Feb 2026 14:43:36 GMT</t>
  </si>
  <si>
    <t>Rival</t>
  </si>
  <si>
    <t>1st</t>
  </si>
  <si>
    <t>2nd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</si>
</sst>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3" numFmtId="1" xfId="0" applyAlignment="1" applyBorder="1" applyFont="1" applyNumberFormat="1">
      <alignment horizontal="center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0" fillId="0" fontId="1" numFmtId="1" xfId="0" applyFont="1" applyNumberFormat="1"/>
    <xf borderId="0" fillId="0" fontId="1" numFmtId="9" xfId="0" applyFont="1" applyNumberFormat="1"/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555555"/>
      </font>
      <fill>
        <patternFill patternType="solid">
          <fgColor rgb="FF888888"/>
          <bgColor rgb="FF88888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11</v>
      </c>
      <c r="I1" s="3" t="s">
        <v>13</v>
      </c>
      <c r="J1" s="3" t="s">
        <v>11</v>
      </c>
      <c r="M1" s="4" t="s">
        <v>14</v>
      </c>
    </row>
    <row r="2" ht="60.0" customHeight="1">
      <c r="A2" s="5" t="str">
        <f>IMAGE("https://res.cloudinary.com/dlbhgbxbf/image/upload/v1767894619/OP13-004_jp.png",4,80,60)</f>
        <v/>
      </c>
      <c r="B2" s="6" t="s">
        <v>15</v>
      </c>
      <c r="C2" s="7">
        <v>57.0</v>
      </c>
      <c r="D2" s="7">
        <v>38.0</v>
      </c>
      <c r="E2" s="7">
        <v>19.0</v>
      </c>
      <c r="F2" s="8">
        <v>0.6666666666666666</v>
      </c>
      <c r="G2" s="9" t="str">
        <f>IMAGE("https://res.cloudinary.com/dlbhgbxbf/image/upload/v1767894619/OP14-079_jp.png",4,80,60)</f>
        <v/>
      </c>
      <c r="H2" s="8">
        <v>1.0</v>
      </c>
      <c r="I2" s="9" t="str">
        <f>IMAGE("https://res.cloudinary.com/dlbhgbxbf/image/upload/v1767894619/OP14-060_jp.png",4,80,60)</f>
        <v/>
      </c>
      <c r="J2" s="8">
        <v>0.25</v>
      </c>
      <c r="M2" s="10"/>
    </row>
    <row r="3" ht="60.0" customHeight="1">
      <c r="A3" s="11" t="str">
        <f>IMAGE("https://res.cloudinary.com/dlbhgbxbf/image/upload/v1767894619/EB03-001_jp.png",4,80,60)</f>
        <v/>
      </c>
      <c r="B3" s="12" t="s">
        <v>16</v>
      </c>
      <c r="C3" s="13">
        <v>23.0</v>
      </c>
      <c r="D3" s="13">
        <v>9.0</v>
      </c>
      <c r="E3" s="13">
        <v>14.0</v>
      </c>
      <c r="F3" s="14">
        <v>0.391304347826087</v>
      </c>
      <c r="G3" s="15" t="str">
        <f>IMAGE("https://res.cloudinary.com/dlbhgbxbf/image/upload/v1767894619/OP11-041_jp.png",4,80,60)</f>
        <v/>
      </c>
      <c r="H3" s="14">
        <v>0.4</v>
      </c>
      <c r="I3" s="15" t="str">
        <f>IMAGE("https://res.cloudinary.com/dlbhgbxbf/image/upload/v1767894619/OP08-021_jp.png",4,80,60)</f>
        <v/>
      </c>
      <c r="J3" s="14">
        <v>0.3333333333333333</v>
      </c>
      <c r="L3" s="16" t="s">
        <v>17</v>
      </c>
      <c r="M3" s="17"/>
      <c r="O3" s="18" t="s">
        <v>18</v>
      </c>
      <c r="P3" s="19"/>
    </row>
    <row r="4" ht="60.0" customHeight="1">
      <c r="A4" s="5" t="str">
        <f>IMAGE("https://res.cloudinary.com/dlbhgbxbf/image/upload/v1767894619/OP14-060_jp.png",4,80,60)</f>
        <v/>
      </c>
      <c r="B4" s="6" t="s">
        <v>19</v>
      </c>
      <c r="C4" s="7">
        <v>15.0</v>
      </c>
      <c r="D4" s="7">
        <v>8.0</v>
      </c>
      <c r="E4" s="7">
        <v>7.0</v>
      </c>
      <c r="F4" s="8">
        <v>0.5333333333333333</v>
      </c>
      <c r="G4" s="9" t="str">
        <f>IMAGE("https://res.cloudinary.com/dlbhgbxbf/image/upload/v1767894619/ST29-001_jp.png",4,80,60)</f>
        <v/>
      </c>
      <c r="H4" s="8">
        <v>0.6</v>
      </c>
      <c r="I4" s="9" t="str">
        <f>IMAGE("https://res.cloudinary.com/dlbhgbxbf/image/upload/v1767894619/ST29-001_jp.png",4,80,60)</f>
        <v/>
      </c>
      <c r="J4" s="8">
        <v>0.6</v>
      </c>
      <c r="L4" s="20" t="str">
        <f>IMAGE("https://res.cloudinary.com/dlbhgbxbf/image/upload/v1767894619/OP11-041_jp.png",4,80,60)</f>
        <v/>
      </c>
      <c r="M4" s="21" t="s">
        <v>20</v>
      </c>
      <c r="O4" s="22" t="str">
        <f>IMAGE("https://res.cloudinary.com/dlbhgbxbf/image/upload/v1767894619/OP11-041_jp.png",4,80,60)</f>
        <v/>
      </c>
      <c r="P4" s="23" t="s">
        <v>21</v>
      </c>
    </row>
    <row r="5" ht="60.0" customHeight="1">
      <c r="A5" s="11" t="str">
        <f>IMAGE("https://res.cloudinary.com/dlbhgbxbf/image/upload/v1767894619/OP13-002_jp.png",4,80,60)</f>
        <v/>
      </c>
      <c r="B5" s="12" t="s">
        <v>22</v>
      </c>
      <c r="C5" s="13">
        <v>4.0</v>
      </c>
      <c r="D5" s="13">
        <v>3.0</v>
      </c>
      <c r="E5" s="13">
        <v>1.0</v>
      </c>
      <c r="F5" s="14">
        <v>0.75</v>
      </c>
      <c r="G5" s="15" t="str">
        <f>IMAGE("https://res.cloudinary.com/dlbhgbxbf/image/upload/v1767894619/OP14-079_jp.png",4,80,60)</f>
        <v/>
      </c>
      <c r="H5" s="14">
        <v>0.75</v>
      </c>
      <c r="I5" s="15" t="str">
        <f>IMAGE("https://res.cloudinary.com/dlbhgbxbf/image/upload/v1767894619/OP14-079_jp.png",4,80,60)</f>
        <v/>
      </c>
      <c r="J5" s="14">
        <v>0.75</v>
      </c>
      <c r="L5" s="24" t="str">
        <f>IMAGE("https://res.cloudinary.com/dlbhgbxbf/image/upload/v1767894619/ST29-001_jp.png",4,80,60)</f>
        <v/>
      </c>
      <c r="M5" s="25" t="s">
        <v>23</v>
      </c>
      <c r="O5" s="26" t="str">
        <f>IMAGE("https://res.cloudinary.com/dlbhgbxbf/image/upload/v1767894619/OP13-002_jp.png",4,80,60)</f>
        <v/>
      </c>
      <c r="P5" s="27" t="s">
        <v>24</v>
      </c>
    </row>
    <row r="6" ht="60.0" customHeight="1">
      <c r="A6" s="5" t="str">
        <f>IMAGE("https://res.cloudinary.com/dlbhgbxbf/image/upload/v1767894619/OP12-040_jp.png",4,80,60)</f>
        <v/>
      </c>
      <c r="B6" s="6" t="s">
        <v>25</v>
      </c>
      <c r="C6" s="7">
        <v>1.0</v>
      </c>
      <c r="D6" s="7">
        <v>0.0</v>
      </c>
      <c r="E6" s="7">
        <v>1.0</v>
      </c>
      <c r="F6" s="8">
        <v>0.0</v>
      </c>
      <c r="G6" s="7" t="s">
        <v>26</v>
      </c>
      <c r="H6" s="8" t="s">
        <v>26</v>
      </c>
      <c r="I6" s="7" t="s">
        <v>26</v>
      </c>
      <c r="J6" s="8" t="s">
        <v>26</v>
      </c>
      <c r="L6" s="28" t="str">
        <f>IMAGE("https://res.cloudinary.com/dlbhgbxbf/image/upload/v1767894619/EB03-001_jp.png",4,80,60)</f>
        <v/>
      </c>
      <c r="M6" s="29" t="s">
        <v>27</v>
      </c>
      <c r="O6" s="30" t="str">
        <f>IMAGE("https://res.cloudinary.com/dlbhgbxbf/image/upload/v1767894619/ST29-001_jp.png",4,80,60)</f>
        <v/>
      </c>
      <c r="P6" s="31" t="s">
        <v>28</v>
      </c>
    </row>
    <row r="7" ht="60.0" customHeight="1">
      <c r="B7" s="10"/>
      <c r="C7" s="32"/>
      <c r="D7" s="32"/>
      <c r="E7" s="32"/>
      <c r="F7" s="33"/>
      <c r="G7" s="32"/>
      <c r="H7" s="33"/>
      <c r="I7" s="32"/>
      <c r="J7" s="33"/>
      <c r="L7" s="34" t="str">
        <f>IMAGE("https://res.cloudinary.com/dlbhgbxbf/image/upload/v1767894619/OP14-079_jp.png",4,80,60)</f>
        <v/>
      </c>
      <c r="M7" s="35" t="s">
        <v>29</v>
      </c>
      <c r="O7" s="36" t="str">
        <f>IMAGE("https://res.cloudinary.com/dlbhgbxbf/image/upload/v1767894619/OP14-020_jp.png",4,80,60)</f>
        <v/>
      </c>
      <c r="P7" s="37" t="s">
        <v>30</v>
      </c>
    </row>
    <row r="8" ht="60.0" customHeight="1">
      <c r="B8" s="10"/>
      <c r="C8" s="32"/>
      <c r="D8" s="32"/>
      <c r="E8" s="32"/>
      <c r="F8" s="33"/>
      <c r="G8" s="32"/>
      <c r="H8" s="33"/>
      <c r="I8" s="32"/>
      <c r="J8" s="33"/>
    </row>
  </sheetData>
  <mergeCells count="2">
    <mergeCell ref="L3:M3"/>
    <mergeCell ref="O3:P3"/>
  </mergeCells>
  <conditionalFormatting sqref="F2:F6">
    <cfRule type="cellIs" dxfId="0" priority="1" stopIfTrue="1" operator="lessThanOrEqual">
      <formula>0.39</formula>
    </cfRule>
  </conditionalFormatting>
  <conditionalFormatting sqref="F2:F6">
    <cfRule type="cellIs" dxfId="1" priority="2" stopIfTrue="1" operator="between">
      <formula>0.4</formula>
      <formula>0.49</formula>
    </cfRule>
  </conditionalFormatting>
  <conditionalFormatting sqref="F2:F6">
    <cfRule type="cellIs" dxfId="2" priority="3" stopIfTrue="1" operator="between">
      <formula>0.5</formula>
      <formula>0.6</formula>
    </cfRule>
  </conditionalFormatting>
  <conditionalFormatting sqref="F2:F6">
    <cfRule type="cellIs" dxfId="3" priority="4" stopIfTrue="1" operator="greaterThanOrEqual">
      <formula>0.6</formula>
    </cfRule>
  </conditionalFormatting>
  <conditionalFormatting sqref="H2:H6">
    <cfRule type="cellIs" dxfId="0" priority="5" stopIfTrue="1" operator="lessThanOrEqual">
      <formula>0.39</formula>
    </cfRule>
  </conditionalFormatting>
  <conditionalFormatting sqref="H2:H6">
    <cfRule type="cellIs" dxfId="1" priority="6" stopIfTrue="1" operator="between">
      <formula>0.4</formula>
      <formula>0.49</formula>
    </cfRule>
  </conditionalFormatting>
  <conditionalFormatting sqref="H2:H6">
    <cfRule type="cellIs" dxfId="2" priority="7" stopIfTrue="1" operator="between">
      <formula>0.5</formula>
      <formula>0.6</formula>
    </cfRule>
  </conditionalFormatting>
  <conditionalFormatting sqref="H2:H6">
    <cfRule type="cellIs" dxfId="3" priority="8" stopIfTrue="1" operator="greaterThanOrEqual">
      <formula>0.6</formula>
    </cfRule>
  </conditionalFormatting>
  <conditionalFormatting sqref="J2:J6">
    <cfRule type="cellIs" dxfId="0" priority="9" stopIfTrue="1" operator="lessThanOrEqual">
      <formula>0.39</formula>
    </cfRule>
  </conditionalFormatting>
  <conditionalFormatting sqref="J2:J6">
    <cfRule type="cellIs" dxfId="1" priority="10" stopIfTrue="1" operator="between">
      <formula>0.4</formula>
      <formula>0.49</formula>
    </cfRule>
  </conditionalFormatting>
  <conditionalFormatting sqref="J2:J6">
    <cfRule type="cellIs" dxfId="2" priority="11" stopIfTrue="1" operator="between">
      <formula>0.5</formula>
      <formula>0.6</formula>
    </cfRule>
  </conditionalFormatting>
  <conditionalFormatting sqref="J2:J6">
    <cfRule type="cellIs" dxfId="3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 t="s">
        <v>37</v>
      </c>
      <c r="B2" s="1" t="s">
        <v>38</v>
      </c>
      <c r="C2" s="1" t="s">
        <v>16</v>
      </c>
      <c r="D2" s="1" t="s">
        <v>39</v>
      </c>
      <c r="E2" s="1" t="s">
        <v>40</v>
      </c>
      <c r="F2" s="38">
        <v>1.0</v>
      </c>
      <c r="G2" s="38">
        <v>1.0</v>
      </c>
    </row>
    <row r="3">
      <c r="A3" s="1" t="s">
        <v>41</v>
      </c>
      <c r="B3" s="1" t="s">
        <v>38</v>
      </c>
      <c r="C3" s="1" t="s">
        <v>16</v>
      </c>
      <c r="D3" s="1" t="s">
        <v>42</v>
      </c>
      <c r="E3" s="1" t="s">
        <v>43</v>
      </c>
      <c r="F3" s="38">
        <v>0.0</v>
      </c>
      <c r="G3" s="38">
        <v>0.0</v>
      </c>
    </row>
    <row r="4">
      <c r="A4" s="1" t="s">
        <v>44</v>
      </c>
      <c r="B4" s="1" t="s">
        <v>38</v>
      </c>
      <c r="C4" s="1" t="s">
        <v>16</v>
      </c>
      <c r="D4" s="1" t="s">
        <v>42</v>
      </c>
      <c r="E4" s="1" t="s">
        <v>43</v>
      </c>
      <c r="F4" s="38">
        <v>1.0</v>
      </c>
      <c r="G4" s="38">
        <v>0.0</v>
      </c>
    </row>
    <row r="5">
      <c r="A5" s="1" t="s">
        <v>45</v>
      </c>
      <c r="B5" s="1" t="s">
        <v>38</v>
      </c>
      <c r="C5" s="1" t="s">
        <v>16</v>
      </c>
      <c r="D5" s="1" t="s">
        <v>38</v>
      </c>
      <c r="E5" s="1" t="s">
        <v>16</v>
      </c>
      <c r="F5" s="38">
        <v>0.0</v>
      </c>
      <c r="G5" s="38">
        <v>0.0</v>
      </c>
    </row>
    <row r="6">
      <c r="A6" s="1" t="s">
        <v>46</v>
      </c>
      <c r="B6" s="1" t="s">
        <v>38</v>
      </c>
      <c r="C6" s="1" t="s">
        <v>16</v>
      </c>
      <c r="D6" s="1" t="s">
        <v>47</v>
      </c>
      <c r="E6" s="1" t="s">
        <v>48</v>
      </c>
      <c r="F6" s="38">
        <v>1.0</v>
      </c>
      <c r="G6" s="38">
        <v>0.0</v>
      </c>
    </row>
    <row r="7">
      <c r="A7" s="1" t="s">
        <v>49</v>
      </c>
      <c r="B7" s="1" t="s">
        <v>38</v>
      </c>
      <c r="C7" s="1" t="s">
        <v>16</v>
      </c>
      <c r="D7" s="1" t="s">
        <v>50</v>
      </c>
      <c r="E7" s="1" t="s">
        <v>51</v>
      </c>
      <c r="F7" s="38">
        <v>1.0</v>
      </c>
      <c r="G7" s="38">
        <v>0.0</v>
      </c>
    </row>
    <row r="8">
      <c r="A8" s="1" t="s">
        <v>52</v>
      </c>
      <c r="B8" s="1" t="s">
        <v>38</v>
      </c>
      <c r="C8" s="1" t="s">
        <v>16</v>
      </c>
      <c r="D8" s="1" t="s">
        <v>38</v>
      </c>
      <c r="E8" s="1" t="s">
        <v>16</v>
      </c>
      <c r="F8" s="38">
        <v>1.0</v>
      </c>
      <c r="G8" s="38">
        <v>1.0</v>
      </c>
    </row>
    <row r="9">
      <c r="A9" s="1" t="s">
        <v>53</v>
      </c>
      <c r="B9" s="1" t="s">
        <v>38</v>
      </c>
      <c r="C9" s="1" t="s">
        <v>16</v>
      </c>
      <c r="D9" s="1" t="s">
        <v>54</v>
      </c>
      <c r="E9" s="1" t="s">
        <v>55</v>
      </c>
      <c r="F9" s="38">
        <v>0.0</v>
      </c>
      <c r="G9" s="38">
        <v>1.0</v>
      </c>
    </row>
    <row r="10">
      <c r="A10" s="1" t="s">
        <v>56</v>
      </c>
      <c r="B10" s="1" t="s">
        <v>38</v>
      </c>
      <c r="C10" s="1" t="s">
        <v>16</v>
      </c>
      <c r="D10" s="1" t="s">
        <v>57</v>
      </c>
      <c r="E10" s="1" t="s">
        <v>58</v>
      </c>
      <c r="F10" s="38">
        <v>1.0</v>
      </c>
      <c r="G10" s="38">
        <v>1.0</v>
      </c>
    </row>
    <row r="11">
      <c r="A11" s="1" t="s">
        <v>59</v>
      </c>
      <c r="B11" s="1" t="s">
        <v>38</v>
      </c>
      <c r="C11" s="1" t="s">
        <v>16</v>
      </c>
      <c r="D11" s="1" t="s">
        <v>60</v>
      </c>
      <c r="E11" s="1" t="s">
        <v>61</v>
      </c>
      <c r="F11" s="38">
        <v>0.0</v>
      </c>
      <c r="G11" s="38">
        <v>1.0</v>
      </c>
    </row>
    <row r="12">
      <c r="A12" s="1" t="s">
        <v>62</v>
      </c>
      <c r="B12" s="1" t="s">
        <v>38</v>
      </c>
      <c r="C12" s="1" t="s">
        <v>16</v>
      </c>
      <c r="D12" s="1" t="s">
        <v>63</v>
      </c>
      <c r="E12" s="1" t="s">
        <v>64</v>
      </c>
      <c r="F12" s="38">
        <v>0.0</v>
      </c>
      <c r="G12" s="38">
        <v>0.0</v>
      </c>
    </row>
    <row r="13">
      <c r="A13" s="1" t="s">
        <v>65</v>
      </c>
      <c r="B13" s="1" t="s">
        <v>66</v>
      </c>
      <c r="C13" s="1" t="s">
        <v>15</v>
      </c>
      <c r="D13" s="1" t="s">
        <v>50</v>
      </c>
      <c r="E13" s="1" t="s">
        <v>51</v>
      </c>
      <c r="F13" s="38">
        <v>1.0</v>
      </c>
      <c r="G13" s="38">
        <v>1.0</v>
      </c>
    </row>
    <row r="14">
      <c r="A14" s="1" t="s">
        <v>67</v>
      </c>
      <c r="B14" s="1" t="s">
        <v>66</v>
      </c>
      <c r="C14" s="1" t="s">
        <v>15</v>
      </c>
      <c r="D14" s="1" t="s">
        <v>50</v>
      </c>
      <c r="E14" s="1" t="s">
        <v>51</v>
      </c>
      <c r="F14" s="38">
        <v>0.0</v>
      </c>
      <c r="G14" s="38">
        <v>0.0</v>
      </c>
    </row>
    <row r="15">
      <c r="A15" s="1" t="s">
        <v>68</v>
      </c>
      <c r="B15" s="1" t="s">
        <v>66</v>
      </c>
      <c r="C15" s="1" t="s">
        <v>15</v>
      </c>
      <c r="D15" s="1" t="s">
        <v>50</v>
      </c>
      <c r="E15" s="1" t="s">
        <v>51</v>
      </c>
      <c r="F15" s="38">
        <v>1.0</v>
      </c>
      <c r="G15" s="38">
        <v>1.0</v>
      </c>
    </row>
    <row r="16">
      <c r="A16" s="1" t="s">
        <v>69</v>
      </c>
      <c r="B16" s="1" t="s">
        <v>66</v>
      </c>
      <c r="C16" s="1" t="s">
        <v>15</v>
      </c>
      <c r="D16" s="1" t="s">
        <v>50</v>
      </c>
      <c r="E16" s="1" t="s">
        <v>51</v>
      </c>
      <c r="F16" s="38">
        <v>1.0</v>
      </c>
      <c r="G16" s="38">
        <v>1.0</v>
      </c>
    </row>
    <row r="17">
      <c r="A17" s="1" t="s">
        <v>70</v>
      </c>
      <c r="B17" s="1" t="s">
        <v>66</v>
      </c>
      <c r="C17" s="1" t="s">
        <v>15</v>
      </c>
      <c r="D17" s="1" t="s">
        <v>71</v>
      </c>
      <c r="E17" s="1" t="s">
        <v>72</v>
      </c>
      <c r="F17" s="38">
        <v>1.0</v>
      </c>
      <c r="G17" s="38">
        <v>1.0</v>
      </c>
    </row>
    <row r="18">
      <c r="A18" s="1" t="s">
        <v>73</v>
      </c>
      <c r="B18" s="1" t="s">
        <v>66</v>
      </c>
      <c r="C18" s="1" t="s">
        <v>15</v>
      </c>
      <c r="D18" s="1" t="s">
        <v>63</v>
      </c>
      <c r="E18" s="1" t="s">
        <v>64</v>
      </c>
      <c r="F18" s="38">
        <v>1.0</v>
      </c>
      <c r="G18" s="38">
        <v>1.0</v>
      </c>
    </row>
    <row r="19">
      <c r="A19" s="1" t="s">
        <v>74</v>
      </c>
      <c r="B19" s="1" t="s">
        <v>75</v>
      </c>
      <c r="C19" s="1" t="s">
        <v>19</v>
      </c>
      <c r="D19" s="1" t="s">
        <v>76</v>
      </c>
      <c r="E19" s="1" t="s">
        <v>77</v>
      </c>
      <c r="F19" s="38">
        <v>1.0</v>
      </c>
      <c r="G19" s="38">
        <v>0.0</v>
      </c>
    </row>
    <row r="20">
      <c r="A20" s="1" t="s">
        <v>78</v>
      </c>
      <c r="B20" s="1" t="s">
        <v>79</v>
      </c>
      <c r="C20" s="1" t="s">
        <v>22</v>
      </c>
      <c r="D20" s="1" t="s">
        <v>80</v>
      </c>
      <c r="E20" s="1" t="s">
        <v>81</v>
      </c>
      <c r="F20" s="38">
        <v>1.0</v>
      </c>
      <c r="G20" s="38">
        <v>1.0</v>
      </c>
    </row>
    <row r="21">
      <c r="A21" s="1" t="s">
        <v>82</v>
      </c>
      <c r="B21" s="1" t="s">
        <v>79</v>
      </c>
      <c r="C21" s="1" t="s">
        <v>22</v>
      </c>
      <c r="D21" s="1" t="s">
        <v>80</v>
      </c>
      <c r="E21" s="1" t="s">
        <v>81</v>
      </c>
      <c r="F21" s="38">
        <v>0.0</v>
      </c>
      <c r="G21" s="38">
        <v>0.0</v>
      </c>
    </row>
    <row r="22">
      <c r="A22" s="1" t="s">
        <v>83</v>
      </c>
      <c r="B22" s="1" t="s">
        <v>79</v>
      </c>
      <c r="C22" s="1" t="s">
        <v>22</v>
      </c>
      <c r="D22" s="1" t="s">
        <v>80</v>
      </c>
      <c r="E22" s="1" t="s">
        <v>81</v>
      </c>
      <c r="F22" s="38">
        <v>1.0</v>
      </c>
      <c r="G22" s="38">
        <v>0.0</v>
      </c>
    </row>
    <row r="23">
      <c r="A23" s="1" t="s">
        <v>84</v>
      </c>
      <c r="B23" s="1" t="s">
        <v>75</v>
      </c>
      <c r="C23" s="1" t="s">
        <v>19</v>
      </c>
      <c r="D23" s="1" t="s">
        <v>50</v>
      </c>
      <c r="E23" s="1" t="s">
        <v>51</v>
      </c>
      <c r="F23" s="38">
        <v>0.0</v>
      </c>
      <c r="G23" s="38">
        <v>1.0</v>
      </c>
    </row>
    <row r="24">
      <c r="A24" s="1" t="s">
        <v>85</v>
      </c>
      <c r="B24" s="1" t="s">
        <v>75</v>
      </c>
      <c r="C24" s="1" t="s">
        <v>19</v>
      </c>
      <c r="D24" s="1" t="s">
        <v>66</v>
      </c>
      <c r="E24" s="1" t="s">
        <v>15</v>
      </c>
      <c r="F24" s="38">
        <v>1.0</v>
      </c>
      <c r="G24" s="38">
        <v>1.0</v>
      </c>
    </row>
    <row r="25">
      <c r="A25" s="1" t="s">
        <v>86</v>
      </c>
      <c r="B25" s="1" t="s">
        <v>75</v>
      </c>
      <c r="C25" s="1" t="s">
        <v>19</v>
      </c>
      <c r="D25" s="1" t="s">
        <v>54</v>
      </c>
      <c r="E25" s="1" t="s">
        <v>55</v>
      </c>
      <c r="F25" s="38">
        <v>0.0</v>
      </c>
      <c r="G25" s="38">
        <v>0.0</v>
      </c>
    </row>
    <row r="26">
      <c r="A26" s="1" t="s">
        <v>87</v>
      </c>
      <c r="B26" s="1" t="s">
        <v>79</v>
      </c>
      <c r="C26" s="1" t="s">
        <v>22</v>
      </c>
      <c r="D26" s="1" t="s">
        <v>80</v>
      </c>
      <c r="E26" s="1" t="s">
        <v>81</v>
      </c>
      <c r="F26" s="38">
        <v>1.0</v>
      </c>
      <c r="G26" s="38">
        <v>0.0</v>
      </c>
    </row>
    <row r="27">
      <c r="A27" s="1" t="s">
        <v>88</v>
      </c>
      <c r="B27" s="1" t="s">
        <v>66</v>
      </c>
      <c r="C27" s="1" t="s">
        <v>15</v>
      </c>
      <c r="D27" s="1" t="s">
        <v>80</v>
      </c>
      <c r="E27" s="1" t="s">
        <v>81</v>
      </c>
      <c r="F27" s="38">
        <v>1.0</v>
      </c>
      <c r="G27" s="38">
        <v>1.0</v>
      </c>
    </row>
    <row r="28">
      <c r="A28" s="1" t="s">
        <v>89</v>
      </c>
      <c r="B28" s="1" t="s">
        <v>75</v>
      </c>
      <c r="C28" s="1" t="s">
        <v>19</v>
      </c>
      <c r="D28" s="1" t="s">
        <v>90</v>
      </c>
      <c r="E28" s="1" t="s">
        <v>91</v>
      </c>
      <c r="F28" s="38">
        <v>1.0</v>
      </c>
      <c r="G28" s="38">
        <v>1.0</v>
      </c>
    </row>
    <row r="29">
      <c r="A29" s="1" t="s">
        <v>92</v>
      </c>
      <c r="B29" s="1" t="s">
        <v>66</v>
      </c>
      <c r="C29" s="1" t="s">
        <v>15</v>
      </c>
      <c r="D29" s="1" t="s">
        <v>38</v>
      </c>
      <c r="E29" s="1" t="s">
        <v>16</v>
      </c>
      <c r="F29" s="38">
        <v>0.0</v>
      </c>
      <c r="G29" s="38">
        <v>1.0</v>
      </c>
    </row>
    <row r="30">
      <c r="A30" s="1" t="s">
        <v>93</v>
      </c>
      <c r="B30" s="1" t="s">
        <v>66</v>
      </c>
      <c r="C30" s="1" t="s">
        <v>15</v>
      </c>
      <c r="D30" s="1" t="s">
        <v>94</v>
      </c>
      <c r="E30" s="1" t="s">
        <v>95</v>
      </c>
      <c r="F30" s="38">
        <v>0.0</v>
      </c>
      <c r="G30" s="38">
        <v>0.0</v>
      </c>
    </row>
    <row r="31">
      <c r="A31" s="1" t="s">
        <v>96</v>
      </c>
      <c r="B31" s="1" t="s">
        <v>66</v>
      </c>
      <c r="C31" s="1" t="s">
        <v>15</v>
      </c>
      <c r="D31" s="1" t="s">
        <v>38</v>
      </c>
      <c r="E31" s="1" t="s">
        <v>16</v>
      </c>
      <c r="F31" s="38">
        <v>1.0</v>
      </c>
      <c r="G31" s="38">
        <v>0.0</v>
      </c>
    </row>
    <row r="32">
      <c r="A32" s="1" t="s">
        <v>97</v>
      </c>
      <c r="B32" s="1" t="s">
        <v>66</v>
      </c>
      <c r="C32" s="1" t="s">
        <v>15</v>
      </c>
      <c r="D32" s="1" t="s">
        <v>38</v>
      </c>
      <c r="E32" s="1" t="s">
        <v>16</v>
      </c>
      <c r="F32" s="38">
        <v>1.0</v>
      </c>
      <c r="G32" s="38">
        <v>0.0</v>
      </c>
    </row>
    <row r="33">
      <c r="A33" s="1" t="s">
        <v>98</v>
      </c>
      <c r="B33" s="1" t="s">
        <v>66</v>
      </c>
      <c r="C33" s="1" t="s">
        <v>15</v>
      </c>
      <c r="D33" s="1" t="s">
        <v>90</v>
      </c>
      <c r="E33" s="1" t="s">
        <v>91</v>
      </c>
      <c r="F33" s="38">
        <v>1.0</v>
      </c>
      <c r="G33" s="38">
        <v>1.0</v>
      </c>
    </row>
    <row r="34">
      <c r="A34" s="1" t="s">
        <v>99</v>
      </c>
      <c r="B34" s="1" t="s">
        <v>66</v>
      </c>
      <c r="C34" s="1" t="s">
        <v>15</v>
      </c>
      <c r="D34" s="1" t="s">
        <v>50</v>
      </c>
      <c r="E34" s="1" t="s">
        <v>51</v>
      </c>
      <c r="F34" s="38">
        <v>1.0</v>
      </c>
      <c r="G34" s="38">
        <v>0.0</v>
      </c>
    </row>
    <row r="35">
      <c r="A35" s="1" t="s">
        <v>100</v>
      </c>
      <c r="B35" s="1" t="s">
        <v>66</v>
      </c>
      <c r="C35" s="1" t="s">
        <v>15</v>
      </c>
      <c r="D35" s="1" t="s">
        <v>50</v>
      </c>
      <c r="E35" s="1" t="s">
        <v>51</v>
      </c>
      <c r="F35" s="38">
        <v>0.0</v>
      </c>
      <c r="G35" s="38">
        <v>0.0</v>
      </c>
    </row>
    <row r="36">
      <c r="A36" s="1" t="s">
        <v>101</v>
      </c>
      <c r="B36" s="1" t="s">
        <v>66</v>
      </c>
      <c r="C36" s="1" t="s">
        <v>15</v>
      </c>
      <c r="D36" s="1" t="s">
        <v>102</v>
      </c>
      <c r="E36" s="1" t="s">
        <v>103</v>
      </c>
      <c r="F36" s="38">
        <v>1.0</v>
      </c>
      <c r="G36" s="38">
        <v>1.0</v>
      </c>
    </row>
    <row r="37">
      <c r="A37" s="1" t="s">
        <v>104</v>
      </c>
      <c r="B37" s="1" t="s">
        <v>66</v>
      </c>
      <c r="C37" s="1" t="s">
        <v>15</v>
      </c>
      <c r="D37" s="1" t="s">
        <v>38</v>
      </c>
      <c r="E37" s="1" t="s">
        <v>16</v>
      </c>
      <c r="F37" s="38">
        <v>1.0</v>
      </c>
      <c r="G37" s="38">
        <v>1.0</v>
      </c>
    </row>
    <row r="38">
      <c r="A38" s="1" t="s">
        <v>105</v>
      </c>
      <c r="B38" s="1" t="s">
        <v>66</v>
      </c>
      <c r="C38" s="1" t="s">
        <v>15</v>
      </c>
      <c r="D38" s="1" t="s">
        <v>106</v>
      </c>
      <c r="E38" s="1" t="s">
        <v>107</v>
      </c>
      <c r="F38" s="38">
        <v>1.0</v>
      </c>
      <c r="G38" s="38">
        <v>1.0</v>
      </c>
    </row>
    <row r="39">
      <c r="A39" s="1" t="s">
        <v>108</v>
      </c>
      <c r="B39" s="1" t="s">
        <v>66</v>
      </c>
      <c r="C39" s="1" t="s">
        <v>15</v>
      </c>
      <c r="D39" s="1" t="s">
        <v>50</v>
      </c>
      <c r="E39" s="1" t="s">
        <v>51</v>
      </c>
      <c r="F39" s="38">
        <v>1.0</v>
      </c>
      <c r="G39" s="38">
        <v>0.0</v>
      </c>
    </row>
    <row r="40">
      <c r="A40" s="1" t="s">
        <v>109</v>
      </c>
      <c r="B40" s="1" t="s">
        <v>66</v>
      </c>
      <c r="C40" s="1" t="s">
        <v>15</v>
      </c>
      <c r="D40" s="1" t="s">
        <v>38</v>
      </c>
      <c r="E40" s="1" t="s">
        <v>16</v>
      </c>
      <c r="F40" s="38">
        <v>1.0</v>
      </c>
      <c r="G40" s="38">
        <v>1.0</v>
      </c>
    </row>
    <row r="41">
      <c r="A41" s="1" t="s">
        <v>110</v>
      </c>
      <c r="B41" s="1" t="s">
        <v>66</v>
      </c>
      <c r="C41" s="1" t="s">
        <v>15</v>
      </c>
      <c r="D41" s="1" t="s">
        <v>80</v>
      </c>
      <c r="E41" s="1" t="s">
        <v>81</v>
      </c>
      <c r="F41" s="38">
        <v>1.0</v>
      </c>
      <c r="G41" s="38">
        <v>1.0</v>
      </c>
    </row>
    <row r="42">
      <c r="A42" s="1" t="s">
        <v>111</v>
      </c>
      <c r="B42" s="1" t="s">
        <v>66</v>
      </c>
      <c r="C42" s="1" t="s">
        <v>15</v>
      </c>
      <c r="D42" s="1" t="s">
        <v>50</v>
      </c>
      <c r="E42" s="1" t="s">
        <v>51</v>
      </c>
      <c r="F42" s="38">
        <v>1.0</v>
      </c>
      <c r="G42" s="38">
        <v>0.0</v>
      </c>
    </row>
    <row r="43">
      <c r="A43" s="1" t="s">
        <v>112</v>
      </c>
      <c r="B43" s="1" t="s">
        <v>66</v>
      </c>
      <c r="C43" s="1" t="s">
        <v>15</v>
      </c>
      <c r="D43" s="1" t="s">
        <v>50</v>
      </c>
      <c r="E43" s="1" t="s">
        <v>51</v>
      </c>
      <c r="F43" s="38">
        <v>1.0</v>
      </c>
      <c r="G43" s="38">
        <v>1.0</v>
      </c>
    </row>
    <row r="44">
      <c r="A44" s="1" t="s">
        <v>113</v>
      </c>
      <c r="B44" s="1" t="s">
        <v>66</v>
      </c>
      <c r="C44" s="1" t="s">
        <v>15</v>
      </c>
      <c r="D44" s="1" t="s">
        <v>114</v>
      </c>
      <c r="E44" s="1" t="s">
        <v>115</v>
      </c>
      <c r="F44" s="38">
        <v>1.0</v>
      </c>
      <c r="G44" s="38">
        <v>1.0</v>
      </c>
    </row>
    <row r="45">
      <c r="A45" s="1" t="s">
        <v>116</v>
      </c>
      <c r="B45" s="1" t="s">
        <v>66</v>
      </c>
      <c r="C45" s="1" t="s">
        <v>15</v>
      </c>
      <c r="D45" s="1" t="s">
        <v>50</v>
      </c>
      <c r="E45" s="1" t="s">
        <v>51</v>
      </c>
      <c r="F45" s="38">
        <v>1.0</v>
      </c>
      <c r="G45" s="38">
        <v>1.0</v>
      </c>
    </row>
    <row r="46">
      <c r="A46" s="1" t="s">
        <v>117</v>
      </c>
      <c r="B46" s="1" t="s">
        <v>66</v>
      </c>
      <c r="C46" s="1" t="s">
        <v>15</v>
      </c>
      <c r="D46" s="1" t="s">
        <v>38</v>
      </c>
      <c r="E46" s="1" t="s">
        <v>16</v>
      </c>
      <c r="F46" s="38">
        <v>1.0</v>
      </c>
      <c r="G46" s="38">
        <v>1.0</v>
      </c>
    </row>
    <row r="47">
      <c r="A47" s="1" t="s">
        <v>118</v>
      </c>
      <c r="B47" s="1" t="s">
        <v>38</v>
      </c>
      <c r="C47" s="1" t="s">
        <v>16</v>
      </c>
      <c r="D47" s="1" t="s">
        <v>50</v>
      </c>
      <c r="E47" s="1" t="s">
        <v>51</v>
      </c>
      <c r="F47" s="38">
        <v>0.0</v>
      </c>
      <c r="G47" s="38">
        <v>0.0</v>
      </c>
    </row>
    <row r="48">
      <c r="A48" s="1" t="s">
        <v>119</v>
      </c>
      <c r="B48" s="1" t="s">
        <v>38</v>
      </c>
      <c r="C48" s="1" t="s">
        <v>16</v>
      </c>
      <c r="D48" s="1" t="s">
        <v>50</v>
      </c>
      <c r="E48" s="1" t="s">
        <v>51</v>
      </c>
      <c r="F48" s="38">
        <v>0.0</v>
      </c>
      <c r="G48" s="38">
        <v>0.0</v>
      </c>
    </row>
    <row r="49">
      <c r="A49" s="1" t="s">
        <v>120</v>
      </c>
      <c r="B49" s="1" t="s">
        <v>38</v>
      </c>
      <c r="C49" s="1" t="s">
        <v>16</v>
      </c>
      <c r="D49" s="1" t="s">
        <v>50</v>
      </c>
      <c r="E49" s="1" t="s">
        <v>51</v>
      </c>
      <c r="F49" s="38">
        <v>0.0</v>
      </c>
      <c r="G49" s="38">
        <v>1.0</v>
      </c>
    </row>
    <row r="50">
      <c r="A50" s="1" t="s">
        <v>121</v>
      </c>
      <c r="B50" s="1" t="s">
        <v>38</v>
      </c>
      <c r="C50" s="1" t="s">
        <v>16</v>
      </c>
      <c r="D50" s="1" t="s">
        <v>114</v>
      </c>
      <c r="E50" s="1" t="s">
        <v>115</v>
      </c>
      <c r="F50" s="38">
        <v>1.0</v>
      </c>
      <c r="G50" s="38">
        <v>0.0</v>
      </c>
    </row>
    <row r="51">
      <c r="A51" s="1" t="s">
        <v>122</v>
      </c>
      <c r="B51" s="1" t="s">
        <v>38</v>
      </c>
      <c r="C51" s="1" t="s">
        <v>16</v>
      </c>
      <c r="D51" s="1" t="s">
        <v>42</v>
      </c>
      <c r="E51" s="1" t="s">
        <v>43</v>
      </c>
      <c r="F51" s="38">
        <v>0.0</v>
      </c>
      <c r="G51" s="38">
        <v>0.0</v>
      </c>
    </row>
    <row r="52">
      <c r="A52" s="1" t="s">
        <v>123</v>
      </c>
      <c r="B52" s="1" t="s">
        <v>38</v>
      </c>
      <c r="C52" s="1" t="s">
        <v>16</v>
      </c>
      <c r="D52" s="1" t="s">
        <v>79</v>
      </c>
      <c r="E52" s="1" t="s">
        <v>22</v>
      </c>
      <c r="F52" s="38">
        <v>0.0</v>
      </c>
      <c r="G52" s="38">
        <v>0.0</v>
      </c>
    </row>
    <row r="53">
      <c r="A53" s="1" t="s">
        <v>124</v>
      </c>
      <c r="B53" s="1" t="s">
        <v>38</v>
      </c>
      <c r="C53" s="1" t="s">
        <v>16</v>
      </c>
      <c r="D53" s="1" t="s">
        <v>90</v>
      </c>
      <c r="E53" s="1" t="s">
        <v>91</v>
      </c>
      <c r="F53" s="38">
        <v>1.0</v>
      </c>
      <c r="G53" s="38">
        <v>1.0</v>
      </c>
    </row>
    <row r="54">
      <c r="A54" s="1" t="s">
        <v>125</v>
      </c>
      <c r="B54" s="1" t="s">
        <v>38</v>
      </c>
      <c r="C54" s="1" t="s">
        <v>16</v>
      </c>
      <c r="D54" s="1" t="s">
        <v>76</v>
      </c>
      <c r="E54" s="1" t="s">
        <v>77</v>
      </c>
      <c r="F54" s="38">
        <v>0.0</v>
      </c>
      <c r="G54" s="38">
        <v>1.0</v>
      </c>
    </row>
    <row r="55">
      <c r="A55" s="1" t="s">
        <v>126</v>
      </c>
      <c r="B55" s="1" t="s">
        <v>38</v>
      </c>
      <c r="C55" s="1" t="s">
        <v>16</v>
      </c>
      <c r="D55" s="1" t="s">
        <v>66</v>
      </c>
      <c r="E55" s="1" t="s">
        <v>15</v>
      </c>
      <c r="F55" s="38">
        <v>0.0</v>
      </c>
      <c r="G55" s="38">
        <v>0.0</v>
      </c>
    </row>
    <row r="56">
      <c r="A56" s="1" t="s">
        <v>127</v>
      </c>
      <c r="B56" s="1" t="s">
        <v>38</v>
      </c>
      <c r="C56" s="1" t="s">
        <v>16</v>
      </c>
      <c r="D56" s="1" t="s">
        <v>94</v>
      </c>
      <c r="E56" s="1" t="s">
        <v>95</v>
      </c>
      <c r="F56" s="38">
        <v>0.0</v>
      </c>
      <c r="G56" s="38">
        <v>1.0</v>
      </c>
    </row>
    <row r="57">
      <c r="A57" s="1" t="s">
        <v>128</v>
      </c>
      <c r="B57" s="1" t="s">
        <v>38</v>
      </c>
      <c r="C57" s="1" t="s">
        <v>16</v>
      </c>
      <c r="D57" s="1" t="s">
        <v>50</v>
      </c>
      <c r="E57" s="1" t="s">
        <v>51</v>
      </c>
      <c r="F57" s="38">
        <v>1.0</v>
      </c>
      <c r="G57" s="38">
        <v>1.0</v>
      </c>
    </row>
    <row r="58">
      <c r="A58" s="1" t="s">
        <v>129</v>
      </c>
      <c r="B58" s="1" t="s">
        <v>38</v>
      </c>
      <c r="C58" s="1" t="s">
        <v>16</v>
      </c>
      <c r="D58" s="1" t="s">
        <v>130</v>
      </c>
      <c r="E58" s="1" t="s">
        <v>61</v>
      </c>
      <c r="F58" s="38">
        <v>0.0</v>
      </c>
      <c r="G58" s="38">
        <v>0.0</v>
      </c>
    </row>
    <row r="59">
      <c r="A59" s="1" t="s">
        <v>131</v>
      </c>
      <c r="B59" s="1" t="s">
        <v>66</v>
      </c>
      <c r="C59" s="1" t="s">
        <v>15</v>
      </c>
      <c r="D59" s="1" t="s">
        <v>50</v>
      </c>
      <c r="E59" s="1" t="s">
        <v>51</v>
      </c>
      <c r="F59" s="38">
        <v>0.0</v>
      </c>
      <c r="G59" s="38">
        <v>0.0</v>
      </c>
    </row>
    <row r="60">
      <c r="A60" s="1" t="s">
        <v>132</v>
      </c>
      <c r="B60" s="1" t="s">
        <v>66</v>
      </c>
      <c r="C60" s="1" t="s">
        <v>15</v>
      </c>
      <c r="D60" s="1" t="s">
        <v>38</v>
      </c>
      <c r="E60" s="1" t="s">
        <v>16</v>
      </c>
      <c r="F60" s="38">
        <v>1.0</v>
      </c>
      <c r="G60" s="38">
        <v>1.0</v>
      </c>
    </row>
    <row r="61">
      <c r="A61" s="1" t="s">
        <v>133</v>
      </c>
      <c r="B61" s="1" t="s">
        <v>66</v>
      </c>
      <c r="C61" s="1" t="s">
        <v>15</v>
      </c>
      <c r="D61" s="1" t="s">
        <v>79</v>
      </c>
      <c r="E61" s="1" t="s">
        <v>22</v>
      </c>
      <c r="F61" s="38">
        <v>1.0</v>
      </c>
      <c r="G61" s="38">
        <v>0.0</v>
      </c>
    </row>
    <row r="62">
      <c r="A62" s="1" t="s">
        <v>134</v>
      </c>
      <c r="B62" s="1" t="s">
        <v>66</v>
      </c>
      <c r="C62" s="1" t="s">
        <v>15</v>
      </c>
      <c r="D62" s="1" t="s">
        <v>79</v>
      </c>
      <c r="E62" s="1" t="s">
        <v>22</v>
      </c>
      <c r="F62" s="38">
        <v>1.0</v>
      </c>
      <c r="G62" s="38">
        <v>1.0</v>
      </c>
    </row>
    <row r="63">
      <c r="A63" s="1" t="s">
        <v>135</v>
      </c>
      <c r="B63" s="1" t="s">
        <v>66</v>
      </c>
      <c r="C63" s="1" t="s">
        <v>15</v>
      </c>
      <c r="D63" s="1" t="s">
        <v>79</v>
      </c>
      <c r="E63" s="1" t="s">
        <v>22</v>
      </c>
      <c r="F63" s="38">
        <v>0.0</v>
      </c>
      <c r="G63" s="38">
        <v>1.0</v>
      </c>
    </row>
    <row r="64">
      <c r="A64" s="1" t="s">
        <v>136</v>
      </c>
      <c r="B64" s="1" t="s">
        <v>66</v>
      </c>
      <c r="C64" s="1" t="s">
        <v>15</v>
      </c>
      <c r="D64" s="1" t="s">
        <v>137</v>
      </c>
      <c r="E64" s="1" t="s">
        <v>138</v>
      </c>
      <c r="F64" s="38">
        <v>1.0</v>
      </c>
      <c r="G64" s="38">
        <v>0.0</v>
      </c>
    </row>
    <row r="65">
      <c r="A65" s="1" t="s">
        <v>139</v>
      </c>
      <c r="B65" s="1" t="s">
        <v>66</v>
      </c>
      <c r="C65" s="1" t="s">
        <v>15</v>
      </c>
      <c r="D65" s="1" t="s">
        <v>140</v>
      </c>
      <c r="E65" s="1" t="s">
        <v>141</v>
      </c>
      <c r="F65" s="38">
        <v>1.0</v>
      </c>
      <c r="G65" s="38">
        <v>0.0</v>
      </c>
    </row>
    <row r="66">
      <c r="A66" s="1" t="s">
        <v>142</v>
      </c>
      <c r="B66" s="1" t="s">
        <v>66</v>
      </c>
      <c r="C66" s="1" t="s">
        <v>15</v>
      </c>
      <c r="D66" s="1" t="s">
        <v>90</v>
      </c>
      <c r="E66" s="1" t="s">
        <v>91</v>
      </c>
      <c r="F66" s="38">
        <v>1.0</v>
      </c>
      <c r="G66" s="38">
        <v>0.0</v>
      </c>
    </row>
    <row r="67">
      <c r="A67" s="1" t="s">
        <v>143</v>
      </c>
      <c r="B67" s="1" t="s">
        <v>66</v>
      </c>
      <c r="C67" s="1" t="s">
        <v>15</v>
      </c>
      <c r="D67" s="1" t="s">
        <v>75</v>
      </c>
      <c r="E67" s="1" t="s">
        <v>19</v>
      </c>
      <c r="F67" s="38">
        <v>1.0</v>
      </c>
      <c r="G67" s="38">
        <v>1.0</v>
      </c>
    </row>
    <row r="68">
      <c r="A68" s="1" t="s">
        <v>144</v>
      </c>
      <c r="B68" s="1" t="s">
        <v>66</v>
      </c>
      <c r="C68" s="1" t="s">
        <v>15</v>
      </c>
      <c r="D68" s="1" t="s">
        <v>145</v>
      </c>
      <c r="E68" s="1" t="s">
        <v>146</v>
      </c>
      <c r="F68" s="38">
        <v>1.0</v>
      </c>
      <c r="G68" s="38">
        <v>0.0</v>
      </c>
    </row>
    <row r="69">
      <c r="A69" s="1" t="s">
        <v>147</v>
      </c>
      <c r="B69" s="1" t="s">
        <v>66</v>
      </c>
      <c r="C69" s="1" t="s">
        <v>15</v>
      </c>
      <c r="D69" s="1" t="s">
        <v>148</v>
      </c>
      <c r="E69" s="1" t="s">
        <v>149</v>
      </c>
      <c r="F69" s="38">
        <v>1.0</v>
      </c>
      <c r="G69" s="38">
        <v>0.0</v>
      </c>
    </row>
    <row r="70">
      <c r="A70" s="1" t="s">
        <v>150</v>
      </c>
      <c r="B70" s="1" t="s">
        <v>66</v>
      </c>
      <c r="C70" s="1" t="s">
        <v>15</v>
      </c>
      <c r="D70" s="1" t="s">
        <v>90</v>
      </c>
      <c r="E70" s="1" t="s">
        <v>91</v>
      </c>
      <c r="F70" s="38">
        <v>1.0</v>
      </c>
      <c r="G70" s="38">
        <v>0.0</v>
      </c>
    </row>
    <row r="71">
      <c r="A71" s="1" t="s">
        <v>151</v>
      </c>
      <c r="B71" s="1" t="s">
        <v>66</v>
      </c>
      <c r="C71" s="1" t="s">
        <v>15</v>
      </c>
      <c r="D71" s="1" t="s">
        <v>148</v>
      </c>
      <c r="E71" s="1" t="s">
        <v>149</v>
      </c>
      <c r="F71" s="38">
        <v>1.0</v>
      </c>
      <c r="G71" s="38">
        <v>1.0</v>
      </c>
    </row>
    <row r="72">
      <c r="A72" s="1" t="s">
        <v>152</v>
      </c>
      <c r="B72" s="1" t="s">
        <v>66</v>
      </c>
      <c r="C72" s="1" t="s">
        <v>15</v>
      </c>
      <c r="D72" s="1" t="s">
        <v>153</v>
      </c>
      <c r="E72" s="1" t="s">
        <v>154</v>
      </c>
      <c r="F72" s="38">
        <v>0.0</v>
      </c>
      <c r="G72" s="38">
        <v>0.0</v>
      </c>
    </row>
    <row r="73">
      <c r="A73" s="1" t="s">
        <v>155</v>
      </c>
      <c r="B73" s="1" t="s">
        <v>66</v>
      </c>
      <c r="C73" s="1" t="s">
        <v>15</v>
      </c>
      <c r="D73" s="1" t="s">
        <v>76</v>
      </c>
      <c r="E73" s="1" t="s">
        <v>77</v>
      </c>
      <c r="F73" s="38">
        <v>1.0</v>
      </c>
      <c r="G73" s="38">
        <v>0.0</v>
      </c>
    </row>
    <row r="74">
      <c r="A74" s="1" t="s">
        <v>156</v>
      </c>
      <c r="B74" s="1" t="s">
        <v>75</v>
      </c>
      <c r="C74" s="1" t="s">
        <v>19</v>
      </c>
      <c r="D74" s="1" t="s">
        <v>145</v>
      </c>
      <c r="E74" s="1" t="s">
        <v>146</v>
      </c>
      <c r="F74" s="38">
        <v>0.0</v>
      </c>
      <c r="G74" s="38">
        <v>1.0</v>
      </c>
    </row>
    <row r="75">
      <c r="A75" s="1" t="s">
        <v>157</v>
      </c>
      <c r="B75" s="1" t="s">
        <v>75</v>
      </c>
      <c r="C75" s="1" t="s">
        <v>19</v>
      </c>
      <c r="D75" s="1" t="s">
        <v>158</v>
      </c>
      <c r="E75" s="1" t="s">
        <v>159</v>
      </c>
      <c r="F75" s="38">
        <v>1.0</v>
      </c>
      <c r="G75" s="38">
        <v>0.0</v>
      </c>
    </row>
    <row r="76">
      <c r="A76" s="1" t="s">
        <v>160</v>
      </c>
      <c r="B76" s="1" t="s">
        <v>75</v>
      </c>
      <c r="C76" s="1" t="s">
        <v>19</v>
      </c>
      <c r="D76" s="1" t="s">
        <v>66</v>
      </c>
      <c r="E76" s="1" t="s">
        <v>15</v>
      </c>
      <c r="F76" s="38">
        <v>1.0</v>
      </c>
      <c r="G76" s="38">
        <v>0.0</v>
      </c>
    </row>
    <row r="77">
      <c r="A77" s="1" t="s">
        <v>161</v>
      </c>
      <c r="B77" s="1" t="s">
        <v>66</v>
      </c>
      <c r="C77" s="1" t="s">
        <v>15</v>
      </c>
      <c r="D77" s="1" t="s">
        <v>75</v>
      </c>
      <c r="E77" s="1" t="s">
        <v>19</v>
      </c>
      <c r="F77" s="38">
        <v>0.0</v>
      </c>
      <c r="G77" s="38">
        <v>1.0</v>
      </c>
    </row>
    <row r="78">
      <c r="A78" s="1" t="s">
        <v>162</v>
      </c>
      <c r="B78" s="1" t="s">
        <v>66</v>
      </c>
      <c r="C78" s="1" t="s">
        <v>15</v>
      </c>
      <c r="D78" s="1" t="s">
        <v>75</v>
      </c>
      <c r="E78" s="1" t="s">
        <v>19</v>
      </c>
      <c r="F78" s="38">
        <v>0.0</v>
      </c>
      <c r="G78" s="38">
        <v>1.0</v>
      </c>
    </row>
    <row r="79">
      <c r="A79" s="1" t="s">
        <v>163</v>
      </c>
      <c r="B79" s="1" t="s">
        <v>66</v>
      </c>
      <c r="C79" s="1" t="s">
        <v>15</v>
      </c>
      <c r="D79" s="1" t="s">
        <v>80</v>
      </c>
      <c r="E79" s="1" t="s">
        <v>81</v>
      </c>
      <c r="F79" s="38">
        <v>1.0</v>
      </c>
      <c r="G79" s="38">
        <v>1.0</v>
      </c>
    </row>
    <row r="80">
      <c r="A80" s="1" t="s">
        <v>164</v>
      </c>
      <c r="B80" s="1" t="s">
        <v>66</v>
      </c>
      <c r="C80" s="1" t="s">
        <v>15</v>
      </c>
      <c r="D80" s="1" t="s">
        <v>90</v>
      </c>
      <c r="E80" s="1" t="s">
        <v>91</v>
      </c>
      <c r="F80" s="38">
        <v>1.0</v>
      </c>
      <c r="G80" s="38">
        <v>1.0</v>
      </c>
    </row>
    <row r="81">
      <c r="A81" s="1" t="s">
        <v>165</v>
      </c>
      <c r="B81" s="1" t="s">
        <v>66</v>
      </c>
      <c r="C81" s="1" t="s">
        <v>15</v>
      </c>
      <c r="D81" s="1" t="s">
        <v>76</v>
      </c>
      <c r="E81" s="1" t="s">
        <v>77</v>
      </c>
      <c r="F81" s="38">
        <v>1.0</v>
      </c>
      <c r="G81" s="38">
        <v>1.0</v>
      </c>
    </row>
    <row r="82">
      <c r="A82" s="1" t="s">
        <v>166</v>
      </c>
      <c r="B82" s="1" t="s">
        <v>66</v>
      </c>
      <c r="C82" s="1" t="s">
        <v>15</v>
      </c>
      <c r="D82" s="1" t="s">
        <v>75</v>
      </c>
      <c r="E82" s="1" t="s">
        <v>19</v>
      </c>
      <c r="F82" s="38">
        <v>0.0</v>
      </c>
      <c r="G82" s="38">
        <v>1.0</v>
      </c>
    </row>
    <row r="83">
      <c r="A83" s="1" t="s">
        <v>167</v>
      </c>
      <c r="B83" s="1" t="s">
        <v>66</v>
      </c>
      <c r="C83" s="1" t="s">
        <v>15</v>
      </c>
      <c r="D83" s="1" t="s">
        <v>79</v>
      </c>
      <c r="E83" s="1" t="s">
        <v>22</v>
      </c>
      <c r="F83" s="38">
        <v>0.0</v>
      </c>
      <c r="G83" s="38">
        <v>0.0</v>
      </c>
    </row>
    <row r="84">
      <c r="A84" s="1" t="s">
        <v>168</v>
      </c>
      <c r="B84" s="1" t="s">
        <v>66</v>
      </c>
      <c r="C84" s="1" t="s">
        <v>15</v>
      </c>
      <c r="D84" s="1" t="s">
        <v>169</v>
      </c>
      <c r="E84" s="1" t="s">
        <v>170</v>
      </c>
      <c r="F84" s="38">
        <v>1.0</v>
      </c>
      <c r="G84" s="38">
        <v>1.0</v>
      </c>
    </row>
    <row r="85">
      <c r="A85" s="1" t="s">
        <v>171</v>
      </c>
      <c r="B85" s="1" t="s">
        <v>66</v>
      </c>
      <c r="C85" s="1" t="s">
        <v>15</v>
      </c>
      <c r="D85" s="1" t="s">
        <v>90</v>
      </c>
      <c r="E85" s="1" t="s">
        <v>91</v>
      </c>
      <c r="F85" s="38">
        <v>0.0</v>
      </c>
      <c r="G85" s="38">
        <v>1.0</v>
      </c>
    </row>
    <row r="86">
      <c r="A86" s="1" t="s">
        <v>172</v>
      </c>
      <c r="B86" s="1" t="s">
        <v>66</v>
      </c>
      <c r="C86" s="1" t="s">
        <v>15</v>
      </c>
      <c r="D86" s="1" t="s">
        <v>90</v>
      </c>
      <c r="E86" s="1" t="s">
        <v>91</v>
      </c>
      <c r="F86" s="38">
        <v>0.0</v>
      </c>
      <c r="G86" s="38">
        <v>0.0</v>
      </c>
    </row>
    <row r="87">
      <c r="A87" s="1" t="s">
        <v>173</v>
      </c>
      <c r="B87" s="1" t="s">
        <v>66</v>
      </c>
      <c r="C87" s="1" t="s">
        <v>15</v>
      </c>
      <c r="D87" s="1" t="s">
        <v>174</v>
      </c>
      <c r="E87" s="1" t="s">
        <v>175</v>
      </c>
      <c r="F87" s="38">
        <v>0.0</v>
      </c>
      <c r="G87" s="38">
        <v>1.0</v>
      </c>
    </row>
    <row r="88">
      <c r="A88" s="1" t="s">
        <v>176</v>
      </c>
      <c r="B88" s="1" t="s">
        <v>66</v>
      </c>
      <c r="C88" s="1" t="s">
        <v>15</v>
      </c>
      <c r="D88" s="1" t="s">
        <v>76</v>
      </c>
      <c r="E88" s="1" t="s">
        <v>77</v>
      </c>
      <c r="F88" s="38">
        <v>0.0</v>
      </c>
      <c r="G88" s="38">
        <v>0.0</v>
      </c>
    </row>
    <row r="89">
      <c r="A89" s="1" t="s">
        <v>177</v>
      </c>
      <c r="B89" s="1" t="s">
        <v>66</v>
      </c>
      <c r="C89" s="1" t="s">
        <v>15</v>
      </c>
      <c r="D89" s="1" t="s">
        <v>76</v>
      </c>
      <c r="E89" s="1" t="s">
        <v>77</v>
      </c>
      <c r="F89" s="38">
        <v>1.0</v>
      </c>
      <c r="G89" s="38">
        <v>1.0</v>
      </c>
    </row>
    <row r="90">
      <c r="A90" s="1" t="s">
        <v>178</v>
      </c>
      <c r="B90" s="1" t="s">
        <v>66</v>
      </c>
      <c r="C90" s="1" t="s">
        <v>15</v>
      </c>
      <c r="D90" s="1" t="s">
        <v>94</v>
      </c>
      <c r="E90" s="1" t="s">
        <v>95</v>
      </c>
      <c r="F90" s="38">
        <v>0.0</v>
      </c>
      <c r="G90" s="38">
        <v>1.0</v>
      </c>
    </row>
    <row r="91">
      <c r="A91" s="1" t="s">
        <v>179</v>
      </c>
      <c r="B91" s="1" t="s">
        <v>66</v>
      </c>
      <c r="C91" s="1" t="s">
        <v>15</v>
      </c>
      <c r="D91" s="1" t="s">
        <v>180</v>
      </c>
      <c r="E91" s="1" t="s">
        <v>181</v>
      </c>
      <c r="F91" s="38">
        <v>0.0</v>
      </c>
      <c r="G91" s="38">
        <v>1.0</v>
      </c>
    </row>
    <row r="92">
      <c r="A92" s="1" t="s">
        <v>182</v>
      </c>
      <c r="B92" s="1" t="s">
        <v>75</v>
      </c>
      <c r="C92" s="1" t="s">
        <v>19</v>
      </c>
      <c r="D92" s="1" t="s">
        <v>79</v>
      </c>
      <c r="E92" s="1" t="s">
        <v>22</v>
      </c>
      <c r="F92" s="38">
        <v>0.0</v>
      </c>
      <c r="G92" s="38">
        <v>1.0</v>
      </c>
    </row>
    <row r="93">
      <c r="A93" s="1" t="s">
        <v>183</v>
      </c>
      <c r="B93" s="1" t="s">
        <v>75</v>
      </c>
      <c r="C93" s="1" t="s">
        <v>19</v>
      </c>
      <c r="D93" s="1" t="s">
        <v>90</v>
      </c>
      <c r="E93" s="1" t="s">
        <v>91</v>
      </c>
      <c r="F93" s="38">
        <v>0.0</v>
      </c>
      <c r="G93" s="38">
        <v>0.0</v>
      </c>
    </row>
    <row r="94">
      <c r="A94" s="1" t="s">
        <v>184</v>
      </c>
      <c r="B94" s="1" t="s">
        <v>75</v>
      </c>
      <c r="C94" s="1" t="s">
        <v>19</v>
      </c>
      <c r="D94" s="1" t="s">
        <v>94</v>
      </c>
      <c r="E94" s="1" t="s">
        <v>95</v>
      </c>
      <c r="F94" s="38">
        <v>1.0</v>
      </c>
      <c r="G94" s="38">
        <v>1.0</v>
      </c>
    </row>
    <row r="95">
      <c r="A95" s="1" t="s">
        <v>185</v>
      </c>
      <c r="B95" s="1" t="s">
        <v>75</v>
      </c>
      <c r="C95" s="1" t="s">
        <v>19</v>
      </c>
      <c r="D95" s="1" t="s">
        <v>90</v>
      </c>
      <c r="E95" s="1" t="s">
        <v>91</v>
      </c>
      <c r="F95" s="38">
        <v>0.0</v>
      </c>
      <c r="G95" s="38">
        <v>0.0</v>
      </c>
    </row>
    <row r="96">
      <c r="A96" s="1" t="s">
        <v>186</v>
      </c>
      <c r="B96" s="1" t="s">
        <v>187</v>
      </c>
      <c r="C96" s="1" t="s">
        <v>25</v>
      </c>
      <c r="D96" s="1" t="s">
        <v>188</v>
      </c>
      <c r="E96" s="1" t="s">
        <v>189</v>
      </c>
      <c r="F96" s="38">
        <v>0.0</v>
      </c>
      <c r="G96" s="38">
        <v>1.0</v>
      </c>
    </row>
    <row r="97">
      <c r="A97" s="1" t="s">
        <v>190</v>
      </c>
      <c r="B97" s="1" t="s">
        <v>75</v>
      </c>
      <c r="C97" s="1" t="s">
        <v>19</v>
      </c>
      <c r="D97" s="1" t="s">
        <v>191</v>
      </c>
      <c r="E97" s="1" t="s">
        <v>192</v>
      </c>
      <c r="F97" s="38">
        <v>0.0</v>
      </c>
      <c r="G97" s="38">
        <v>1.0</v>
      </c>
    </row>
    <row r="98">
      <c r="A98" s="1" t="s">
        <v>193</v>
      </c>
      <c r="B98" s="1" t="s">
        <v>66</v>
      </c>
      <c r="C98" s="1" t="s">
        <v>15</v>
      </c>
      <c r="D98" s="1" t="s">
        <v>76</v>
      </c>
      <c r="E98" s="1" t="s">
        <v>77</v>
      </c>
      <c r="F98" s="38">
        <v>0.0</v>
      </c>
      <c r="G98" s="38">
        <v>1.0</v>
      </c>
    </row>
    <row r="99">
      <c r="A99" s="1" t="s">
        <v>194</v>
      </c>
      <c r="B99" s="1" t="s">
        <v>66</v>
      </c>
      <c r="C99" s="1" t="s">
        <v>15</v>
      </c>
      <c r="D99" s="1" t="s">
        <v>153</v>
      </c>
      <c r="E99" s="1" t="s">
        <v>154</v>
      </c>
      <c r="F99" s="38">
        <v>0.0</v>
      </c>
      <c r="G99" s="38">
        <v>1.0</v>
      </c>
    </row>
    <row r="100">
      <c r="A100" s="1" t="s">
        <v>195</v>
      </c>
      <c r="B100" s="1" t="s">
        <v>75</v>
      </c>
      <c r="C100" s="1" t="s">
        <v>19</v>
      </c>
      <c r="D100" s="1" t="s">
        <v>90</v>
      </c>
      <c r="E100" s="1" t="s">
        <v>91</v>
      </c>
      <c r="F100" s="38">
        <v>1.0</v>
      </c>
      <c r="G100" s="38">
        <v>0.0</v>
      </c>
    </row>
    <row r="101">
      <c r="A101" s="1" t="s">
        <v>196</v>
      </c>
      <c r="B101" s="1" t="s">
        <v>75</v>
      </c>
      <c r="C101" s="1" t="s">
        <v>19</v>
      </c>
      <c r="D101" s="1" t="s">
        <v>90</v>
      </c>
      <c r="E101" s="1" t="s">
        <v>91</v>
      </c>
      <c r="F101" s="38">
        <v>1.0</v>
      </c>
      <c r="G101" s="38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197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198</v>
      </c>
      <c r="H1" s="3" t="s">
        <v>11</v>
      </c>
      <c r="I1" s="3" t="s">
        <v>199</v>
      </c>
      <c r="J1" s="3" t="s">
        <v>11</v>
      </c>
    </row>
    <row r="2" ht="60.0" customHeight="1">
      <c r="A2" s="5" t="str">
        <f>IMAGE("https://res.cloudinary.com/dlbhgbxbf/image/upload/v1767894619/OP11-041_jp.png",4,80,60)</f>
        <v/>
      </c>
      <c r="B2" s="6" t="s">
        <v>50</v>
      </c>
      <c r="C2" s="39">
        <v>5.0</v>
      </c>
      <c r="D2" s="39">
        <v>2.0</v>
      </c>
      <c r="E2" s="39">
        <v>3.0</v>
      </c>
      <c r="F2" s="8">
        <v>0.4</v>
      </c>
      <c r="G2" s="39">
        <v>2.0</v>
      </c>
      <c r="H2" s="8">
        <v>0.5</v>
      </c>
      <c r="I2" s="39">
        <v>3.0</v>
      </c>
      <c r="J2" s="8">
        <v>0.3333333333333333</v>
      </c>
    </row>
    <row r="3" ht="60.0" customHeight="1">
      <c r="A3" s="11" t="str">
        <f>IMAGE("https://res.cloudinary.com/dlbhgbxbf/image/upload/v1767894619/OP08-021_jp.png",4,80,60)</f>
        <v/>
      </c>
      <c r="B3" s="12" t="s">
        <v>42</v>
      </c>
      <c r="C3" s="40">
        <v>3.0</v>
      </c>
      <c r="D3" s="40">
        <v>1.0</v>
      </c>
      <c r="E3" s="40">
        <v>2.0</v>
      </c>
      <c r="F3" s="14">
        <v>0.3333333333333333</v>
      </c>
      <c r="G3" s="40">
        <v>0.0</v>
      </c>
      <c r="H3" s="14" t="s">
        <v>26</v>
      </c>
      <c r="I3" s="40">
        <v>3.0</v>
      </c>
      <c r="J3" s="14">
        <v>0.3333333333333333</v>
      </c>
    </row>
    <row r="4" ht="60.0" customHeight="1">
      <c r="A4" s="5" t="str">
        <f>IMAGE("https://res.cloudinary.com/dlbhgbxbf/image/upload/v1767894619/EB03-001_jp.png",4,80,60)</f>
        <v/>
      </c>
      <c r="B4" s="6" t="s">
        <v>38</v>
      </c>
      <c r="C4" s="39">
        <v>2.0</v>
      </c>
      <c r="D4" s="39">
        <v>1.0</v>
      </c>
      <c r="E4" s="39">
        <v>1.0</v>
      </c>
      <c r="F4" s="8">
        <v>0.5</v>
      </c>
      <c r="G4" s="39">
        <v>1.0</v>
      </c>
      <c r="H4" s="8">
        <v>1.0</v>
      </c>
      <c r="I4" s="39">
        <v>1.0</v>
      </c>
      <c r="J4" s="8">
        <v>0.0</v>
      </c>
    </row>
    <row r="5" ht="60.0" customHeight="1">
      <c r="A5" s="11" t="str">
        <f>IMAGE("https://res.cloudinary.com/dlbhgbxbf/image/upload/v1767894619/OP06-042_jp.png",4,80,60)</f>
        <v/>
      </c>
      <c r="B5" s="12" t="s">
        <v>39</v>
      </c>
      <c r="C5" s="40">
        <v>1.0</v>
      </c>
      <c r="D5" s="40">
        <v>1.0</v>
      </c>
      <c r="E5" s="40">
        <v>0.0</v>
      </c>
      <c r="F5" s="14">
        <v>1.0</v>
      </c>
      <c r="G5" s="40">
        <v>1.0</v>
      </c>
      <c r="H5" s="14">
        <v>1.0</v>
      </c>
      <c r="I5" s="40">
        <v>0.0</v>
      </c>
      <c r="J5" s="14" t="s">
        <v>26</v>
      </c>
    </row>
    <row r="6" ht="60.0" customHeight="1">
      <c r="A6" s="5" t="str">
        <f>IMAGE("https://res.cloudinary.com/dlbhgbxbf/image/upload/v1767894619/OP11-022_jp.png",4,80,60)</f>
        <v/>
      </c>
      <c r="B6" s="6" t="s">
        <v>47</v>
      </c>
      <c r="C6" s="39">
        <v>1.0</v>
      </c>
      <c r="D6" s="39">
        <v>1.0</v>
      </c>
      <c r="E6" s="39">
        <v>0.0</v>
      </c>
      <c r="F6" s="8">
        <v>1.0</v>
      </c>
      <c r="G6" s="39">
        <v>0.0</v>
      </c>
      <c r="H6" s="8" t="s">
        <v>26</v>
      </c>
      <c r="I6" s="39">
        <v>1.0</v>
      </c>
      <c r="J6" s="8">
        <v>1.0</v>
      </c>
    </row>
    <row r="7" ht="60.0" customHeight="1">
      <c r="A7" s="11" t="str">
        <f>IMAGE("https://res.cloudinary.com/dlbhgbxbf/image/upload/v1767894619/OP09-022_jp.png",4,80,60)</f>
        <v/>
      </c>
      <c r="B7" s="12" t="s">
        <v>54</v>
      </c>
      <c r="C7" s="40">
        <v>1.0</v>
      </c>
      <c r="D7" s="40">
        <v>0.0</v>
      </c>
      <c r="E7" s="40">
        <v>1.0</v>
      </c>
      <c r="F7" s="14">
        <v>0.0</v>
      </c>
      <c r="G7" s="40">
        <v>1.0</v>
      </c>
      <c r="H7" s="14">
        <v>0.0</v>
      </c>
      <c r="I7" s="40">
        <v>0.0</v>
      </c>
      <c r="J7" s="14" t="s">
        <v>26</v>
      </c>
    </row>
    <row r="8" ht="60.0" customHeight="1">
      <c r="A8" s="5" t="str">
        <f>IMAGE("https://res.cloudinary.com/dlbhgbxbf/image/upload/v1767894619/ST11-001_jp.png",4,80,60)</f>
        <v/>
      </c>
      <c r="B8" s="6" t="s">
        <v>57</v>
      </c>
      <c r="C8" s="39">
        <v>1.0</v>
      </c>
      <c r="D8" s="39">
        <v>1.0</v>
      </c>
      <c r="E8" s="39">
        <v>0.0</v>
      </c>
      <c r="F8" s="8">
        <v>1.0</v>
      </c>
      <c r="G8" s="39">
        <v>1.0</v>
      </c>
      <c r="H8" s="8">
        <v>1.0</v>
      </c>
      <c r="I8" s="39">
        <v>0.0</v>
      </c>
      <c r="J8" s="8" t="s">
        <v>26</v>
      </c>
    </row>
    <row r="9" ht="60.0" customHeight="1">
      <c r="A9" s="11" t="str">
        <f>IMAGE("https://res.cloudinary.com/dlbhgbxbf/image/upload/v1767894619/OP07-019_jp.png",4,80,60)</f>
        <v/>
      </c>
      <c r="B9" s="12" t="s">
        <v>60</v>
      </c>
      <c r="C9" s="40">
        <v>1.0</v>
      </c>
      <c r="D9" s="40">
        <v>0.0</v>
      </c>
      <c r="E9" s="40">
        <v>1.0</v>
      </c>
      <c r="F9" s="14">
        <v>0.0</v>
      </c>
      <c r="G9" s="40">
        <v>1.0</v>
      </c>
      <c r="H9" s="14">
        <v>0.0</v>
      </c>
      <c r="I9" s="40">
        <v>0.0</v>
      </c>
      <c r="J9" s="14" t="s">
        <v>26</v>
      </c>
    </row>
    <row r="10" ht="60.0" customHeight="1">
      <c r="A10" s="5" t="str">
        <f>IMAGE("https://res.cloudinary.com/dlbhgbxbf/image/upload/v1767894619/OP11-001_jp.png",4,80,60)</f>
        <v/>
      </c>
      <c r="B10" s="6" t="s">
        <v>63</v>
      </c>
      <c r="C10" s="39">
        <v>1.0</v>
      </c>
      <c r="D10" s="39">
        <v>0.0</v>
      </c>
      <c r="E10" s="39">
        <v>1.0</v>
      </c>
      <c r="F10" s="8">
        <v>0.0</v>
      </c>
      <c r="G10" s="39">
        <v>0.0</v>
      </c>
      <c r="H10" s="8" t="s">
        <v>26</v>
      </c>
      <c r="I10" s="39">
        <v>1.0</v>
      </c>
      <c r="J10" s="8">
        <v>0.0</v>
      </c>
    </row>
    <row r="11" ht="60.0" customHeight="1">
      <c r="A11" s="11" t="str">
        <f>IMAGE("https://res.cloudinary.com/dlbhgbxbf/image/upload/v1767894619/OP12-041_jp.png",4,80,60)</f>
        <v/>
      </c>
      <c r="B11" s="12" t="s">
        <v>114</v>
      </c>
      <c r="C11" s="40">
        <v>1.0</v>
      </c>
      <c r="D11" s="40">
        <v>1.0</v>
      </c>
      <c r="E11" s="40">
        <v>0.0</v>
      </c>
      <c r="F11" s="14">
        <v>1.0</v>
      </c>
      <c r="G11" s="40">
        <v>0.0</v>
      </c>
      <c r="H11" s="14" t="s">
        <v>26</v>
      </c>
      <c r="I11" s="40">
        <v>1.0</v>
      </c>
      <c r="J11" s="14">
        <v>1.0</v>
      </c>
    </row>
    <row r="12" ht="60.0" customHeight="1">
      <c r="A12" s="5" t="str">
        <f>IMAGE("https://res.cloudinary.com/dlbhgbxbf/image/upload/v1767894619/OP13-002_jp.png",4,80,60)</f>
        <v/>
      </c>
      <c r="B12" s="6" t="s">
        <v>79</v>
      </c>
      <c r="C12" s="39">
        <v>1.0</v>
      </c>
      <c r="D12" s="39">
        <v>0.0</v>
      </c>
      <c r="E12" s="39">
        <v>1.0</v>
      </c>
      <c r="F12" s="8">
        <v>0.0</v>
      </c>
      <c r="G12" s="39">
        <v>0.0</v>
      </c>
      <c r="H12" s="8" t="s">
        <v>26</v>
      </c>
      <c r="I12" s="39">
        <v>1.0</v>
      </c>
      <c r="J12" s="8">
        <v>0.0</v>
      </c>
    </row>
    <row r="13" ht="60.0" customHeight="1">
      <c r="A13" s="11" t="str">
        <f>IMAGE("https://res.cloudinary.com/dlbhgbxbf/image/upload/v1767894619/ST29-001_jp.png",4,80,60)</f>
        <v/>
      </c>
      <c r="B13" s="12" t="s">
        <v>90</v>
      </c>
      <c r="C13" s="40">
        <v>1.0</v>
      </c>
      <c r="D13" s="40">
        <v>1.0</v>
      </c>
      <c r="E13" s="40">
        <v>0.0</v>
      </c>
      <c r="F13" s="14">
        <v>1.0</v>
      </c>
      <c r="G13" s="40">
        <v>1.0</v>
      </c>
      <c r="H13" s="14">
        <v>1.0</v>
      </c>
      <c r="I13" s="40">
        <v>0.0</v>
      </c>
      <c r="J13" s="14" t="s">
        <v>26</v>
      </c>
    </row>
    <row r="14" ht="60.0" customHeight="1">
      <c r="A14" s="5" t="str">
        <f>IMAGE("https://res.cloudinary.com/dlbhgbxbf/image/upload/v1767894619/OP14-020_jp.png",4,80,60)</f>
        <v/>
      </c>
      <c r="B14" s="6" t="s">
        <v>76</v>
      </c>
      <c r="C14" s="39">
        <v>1.0</v>
      </c>
      <c r="D14" s="39">
        <v>0.0</v>
      </c>
      <c r="E14" s="39">
        <v>1.0</v>
      </c>
      <c r="F14" s="8">
        <v>0.0</v>
      </c>
      <c r="G14" s="39">
        <v>1.0</v>
      </c>
      <c r="H14" s="8">
        <v>0.0</v>
      </c>
      <c r="I14" s="39">
        <v>0.0</v>
      </c>
      <c r="J14" s="8" t="s">
        <v>26</v>
      </c>
    </row>
    <row r="15" ht="60.0" customHeight="1">
      <c r="A15" s="11" t="str">
        <f>IMAGE("https://res.cloudinary.com/dlbhgbxbf/image/upload/v1767894619/OP13-004_jp.png",4,80,60)</f>
        <v/>
      </c>
      <c r="B15" s="12" t="s">
        <v>66</v>
      </c>
      <c r="C15" s="40">
        <v>1.0</v>
      </c>
      <c r="D15" s="40">
        <v>0.0</v>
      </c>
      <c r="E15" s="40">
        <v>1.0</v>
      </c>
      <c r="F15" s="14">
        <v>0.0</v>
      </c>
      <c r="G15" s="40">
        <v>0.0</v>
      </c>
      <c r="H15" s="14" t="s">
        <v>26</v>
      </c>
      <c r="I15" s="40">
        <v>1.0</v>
      </c>
      <c r="J15" s="14">
        <v>0.0</v>
      </c>
    </row>
    <row r="16" ht="60.0" customHeight="1">
      <c r="A16" s="5" t="str">
        <f>IMAGE("https://res.cloudinary.com/dlbhgbxbf/image/upload/v1767894619/OP14-041_jp.png",4,80,60)</f>
        <v/>
      </c>
      <c r="B16" s="6" t="s">
        <v>94</v>
      </c>
      <c r="C16" s="39">
        <v>1.0</v>
      </c>
      <c r="D16" s="39">
        <v>0.0</v>
      </c>
      <c r="E16" s="39">
        <v>1.0</v>
      </c>
      <c r="F16" s="8">
        <v>0.0</v>
      </c>
      <c r="G16" s="39">
        <v>1.0</v>
      </c>
      <c r="H16" s="8">
        <v>0.0</v>
      </c>
      <c r="I16" s="39">
        <v>0.0</v>
      </c>
      <c r="J16" s="8" t="s">
        <v>26</v>
      </c>
    </row>
    <row r="17" ht="60.0" customHeight="1">
      <c r="A17" s="11" t="str">
        <f>IMAGE("https://res.cloudinary.com/dlbhgbxbf/image/upload/v1767894619/EB04-001_jp.png",4,80,60)</f>
        <v/>
      </c>
      <c r="B17" s="12" t="s">
        <v>130</v>
      </c>
      <c r="C17" s="40">
        <v>1.0</v>
      </c>
      <c r="D17" s="40">
        <v>0.0</v>
      </c>
      <c r="E17" s="40">
        <v>1.0</v>
      </c>
      <c r="F17" s="14">
        <v>0.0</v>
      </c>
      <c r="G17" s="40">
        <v>0.0</v>
      </c>
      <c r="H17" s="14" t="s">
        <v>26</v>
      </c>
      <c r="I17" s="40">
        <v>1.0</v>
      </c>
      <c r="J17" s="14">
        <v>0.0</v>
      </c>
    </row>
  </sheetData>
  <conditionalFormatting sqref="F2:F17">
    <cfRule type="cellIs" dxfId="4" priority="1" stopIfTrue="1" operator="equal">
      <formula>"-"</formula>
    </cfRule>
  </conditionalFormatting>
  <conditionalFormatting sqref="F2:F17">
    <cfRule type="cellIs" dxfId="0" priority="2" stopIfTrue="1" operator="lessThanOrEqual">
      <formula>0.39</formula>
    </cfRule>
  </conditionalFormatting>
  <conditionalFormatting sqref="F2:F17">
    <cfRule type="cellIs" dxfId="1" priority="3" stopIfTrue="1" operator="between">
      <formula>0.4</formula>
      <formula>0.49</formula>
    </cfRule>
  </conditionalFormatting>
  <conditionalFormatting sqref="F2:F17">
    <cfRule type="cellIs" dxfId="2" priority="4" stopIfTrue="1" operator="between">
      <formula>0.5</formula>
      <formula>0.6</formula>
    </cfRule>
  </conditionalFormatting>
  <conditionalFormatting sqref="F2:F17">
    <cfRule type="cellIs" dxfId="3" priority="5" stopIfTrue="1" operator="greaterThanOrEqual">
      <formula>0.6</formula>
    </cfRule>
  </conditionalFormatting>
  <conditionalFormatting sqref="H2:H17">
    <cfRule type="cellIs" dxfId="4" priority="6" stopIfTrue="1" operator="equal">
      <formula>"-"</formula>
    </cfRule>
  </conditionalFormatting>
  <conditionalFormatting sqref="H2:H17">
    <cfRule type="cellIs" dxfId="0" priority="7" stopIfTrue="1" operator="lessThanOrEqual">
      <formula>0.39</formula>
    </cfRule>
  </conditionalFormatting>
  <conditionalFormatting sqref="H2:H17">
    <cfRule type="cellIs" dxfId="1" priority="8" stopIfTrue="1" operator="between">
      <formula>0.4</formula>
      <formula>0.49</formula>
    </cfRule>
  </conditionalFormatting>
  <conditionalFormatting sqref="H2:H17">
    <cfRule type="cellIs" dxfId="2" priority="9" stopIfTrue="1" operator="between">
      <formula>0.5</formula>
      <formula>0.6</formula>
    </cfRule>
  </conditionalFormatting>
  <conditionalFormatting sqref="H2:H17">
    <cfRule type="cellIs" dxfId="3" priority="10" stopIfTrue="1" operator="greaterThanOrEqual">
      <formula>0.6</formula>
    </cfRule>
  </conditionalFormatting>
  <conditionalFormatting sqref="J2:J17">
    <cfRule type="cellIs" dxfId="4" priority="11" stopIfTrue="1" operator="equal">
      <formula>"-"</formula>
    </cfRule>
  </conditionalFormatting>
  <conditionalFormatting sqref="J2:J17">
    <cfRule type="cellIs" dxfId="0" priority="12" stopIfTrue="1" operator="lessThanOrEqual">
      <formula>0.39</formula>
    </cfRule>
  </conditionalFormatting>
  <conditionalFormatting sqref="J2:J17">
    <cfRule type="cellIs" dxfId="1" priority="13" stopIfTrue="1" operator="between">
      <formula>0.4</formula>
      <formula>0.49</formula>
    </cfRule>
  </conditionalFormatting>
  <conditionalFormatting sqref="J2:J17">
    <cfRule type="cellIs" dxfId="2" priority="14" stopIfTrue="1" operator="between">
      <formula>0.5</formula>
      <formula>0.6</formula>
    </cfRule>
  </conditionalFormatting>
  <conditionalFormatting sqref="J2:J17">
    <cfRule type="cellIs" dxfId="3" priority="15" stopIfTrue="1" operator="greaterThanOrEqual">
      <formula>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197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198</v>
      </c>
      <c r="H1" s="3" t="s">
        <v>11</v>
      </c>
      <c r="I1" s="3" t="s">
        <v>199</v>
      </c>
      <c r="J1" s="3" t="s">
        <v>11</v>
      </c>
    </row>
    <row r="2" ht="60.0" customHeight="1">
      <c r="A2" s="5" t="str">
        <f>IMAGE("https://res.cloudinary.com/dlbhgbxbf/image/upload/v1767894619/OP11-041_jp.png",4,80,60)</f>
        <v/>
      </c>
      <c r="B2" s="6" t="s">
        <v>50</v>
      </c>
      <c r="C2" s="39">
        <v>11.0</v>
      </c>
      <c r="D2" s="39">
        <v>8.0</v>
      </c>
      <c r="E2" s="39">
        <v>3.0</v>
      </c>
      <c r="F2" s="8">
        <v>0.7272727272727273</v>
      </c>
      <c r="G2" s="39">
        <v>5.0</v>
      </c>
      <c r="H2" s="8">
        <v>1.0</v>
      </c>
      <c r="I2" s="39">
        <v>6.0</v>
      </c>
      <c r="J2" s="8">
        <v>0.5</v>
      </c>
    </row>
    <row r="3" ht="60.0" customHeight="1">
      <c r="A3" s="11" t="str">
        <f>IMAGE("https://res.cloudinary.com/dlbhgbxbf/image/upload/v1767894619/EB03-001_jp.png",4,80,60)</f>
        <v/>
      </c>
      <c r="B3" s="12" t="s">
        <v>38</v>
      </c>
      <c r="C3" s="40">
        <v>7.0</v>
      </c>
      <c r="D3" s="40">
        <v>6.0</v>
      </c>
      <c r="E3" s="40">
        <v>1.0</v>
      </c>
      <c r="F3" s="14">
        <v>0.8571428571428571</v>
      </c>
      <c r="G3" s="40">
        <v>5.0</v>
      </c>
      <c r="H3" s="14">
        <v>0.8</v>
      </c>
      <c r="I3" s="40">
        <v>2.0</v>
      </c>
      <c r="J3" s="14">
        <v>1.0</v>
      </c>
    </row>
    <row r="4" ht="60.0" customHeight="1">
      <c r="A4" s="5" t="str">
        <f>IMAGE("https://res.cloudinary.com/dlbhgbxbf/image/upload/v1767894619/ST29-001_jp.png",4,80,60)</f>
        <v/>
      </c>
      <c r="B4" s="6" t="s">
        <v>90</v>
      </c>
      <c r="C4" s="39">
        <v>6.0</v>
      </c>
      <c r="D4" s="39">
        <v>4.0</v>
      </c>
      <c r="E4" s="39">
        <v>2.0</v>
      </c>
      <c r="F4" s="8">
        <v>0.6666666666666666</v>
      </c>
      <c r="G4" s="39">
        <v>3.0</v>
      </c>
      <c r="H4" s="8">
        <v>0.6666666666666666</v>
      </c>
      <c r="I4" s="39">
        <v>3.0</v>
      </c>
      <c r="J4" s="8">
        <v>0.6666666666666666</v>
      </c>
    </row>
    <row r="5" ht="60.0" customHeight="1">
      <c r="A5" s="11" t="str">
        <f>IMAGE("https://res.cloudinary.com/dlbhgbxbf/image/upload/v1767894619/OP14-020_jp.png",4,80,60)</f>
        <v/>
      </c>
      <c r="B5" s="12" t="s">
        <v>76</v>
      </c>
      <c r="C5" s="40">
        <v>5.0</v>
      </c>
      <c r="D5" s="40">
        <v>3.0</v>
      </c>
      <c r="E5" s="40">
        <v>2.0</v>
      </c>
      <c r="F5" s="14">
        <v>0.6</v>
      </c>
      <c r="G5" s="40">
        <v>3.0</v>
      </c>
      <c r="H5" s="14">
        <v>0.6666666666666666</v>
      </c>
      <c r="I5" s="40">
        <v>2.0</v>
      </c>
      <c r="J5" s="14">
        <v>0.5</v>
      </c>
    </row>
    <row r="6" ht="60.0" customHeight="1">
      <c r="A6" s="5" t="str">
        <f>IMAGE("https://res.cloudinary.com/dlbhgbxbf/image/upload/v1767894619/OP13-002_jp.png",4,80,60)</f>
        <v/>
      </c>
      <c r="B6" s="6" t="s">
        <v>79</v>
      </c>
      <c r="C6" s="39">
        <v>4.0</v>
      </c>
      <c r="D6" s="39">
        <v>2.0</v>
      </c>
      <c r="E6" s="39">
        <v>2.0</v>
      </c>
      <c r="F6" s="8">
        <v>0.5</v>
      </c>
      <c r="G6" s="39">
        <v>2.0</v>
      </c>
      <c r="H6" s="8">
        <v>0.5</v>
      </c>
      <c r="I6" s="39">
        <v>2.0</v>
      </c>
      <c r="J6" s="8">
        <v>0.5</v>
      </c>
    </row>
    <row r="7" ht="60.0" customHeight="1">
      <c r="A7" s="11" t="str">
        <f>IMAGE("https://res.cloudinary.com/dlbhgbxbf/image/upload/v1767894619/OP14-060_jp.png",4,80,60)</f>
        <v/>
      </c>
      <c r="B7" s="12" t="s">
        <v>75</v>
      </c>
      <c r="C7" s="40">
        <v>4.0</v>
      </c>
      <c r="D7" s="40">
        <v>1.0</v>
      </c>
      <c r="E7" s="40">
        <v>3.0</v>
      </c>
      <c r="F7" s="14">
        <v>0.25</v>
      </c>
      <c r="G7" s="40">
        <v>4.0</v>
      </c>
      <c r="H7" s="14">
        <v>0.25</v>
      </c>
      <c r="I7" s="40">
        <v>0.0</v>
      </c>
      <c r="J7" s="14" t="s">
        <v>26</v>
      </c>
    </row>
    <row r="8" ht="60.0" customHeight="1">
      <c r="A8" s="5" t="str">
        <f>IMAGE("https://res.cloudinary.com/dlbhgbxbf/image/upload/v1767894619/OP14-079_jp.png",4,80,60)</f>
        <v/>
      </c>
      <c r="B8" s="6" t="s">
        <v>80</v>
      </c>
      <c r="C8" s="39">
        <v>3.0</v>
      </c>
      <c r="D8" s="39">
        <v>3.0</v>
      </c>
      <c r="E8" s="39">
        <v>0.0</v>
      </c>
      <c r="F8" s="8">
        <v>1.0</v>
      </c>
      <c r="G8" s="39">
        <v>3.0</v>
      </c>
      <c r="H8" s="8">
        <v>1.0</v>
      </c>
      <c r="I8" s="39">
        <v>0.0</v>
      </c>
      <c r="J8" s="8" t="s">
        <v>26</v>
      </c>
    </row>
    <row r="9" ht="60.0" customHeight="1">
      <c r="A9" s="11" t="str">
        <f>IMAGE("https://res.cloudinary.com/dlbhgbxbf/image/upload/v1767894619/OP14-041_jp.png",4,80,60)</f>
        <v/>
      </c>
      <c r="B9" s="12" t="s">
        <v>94</v>
      </c>
      <c r="C9" s="40">
        <v>2.0</v>
      </c>
      <c r="D9" s="40">
        <v>0.0</v>
      </c>
      <c r="E9" s="40">
        <v>2.0</v>
      </c>
      <c r="F9" s="14">
        <v>0.0</v>
      </c>
      <c r="G9" s="40">
        <v>1.0</v>
      </c>
      <c r="H9" s="14">
        <v>0.0</v>
      </c>
      <c r="I9" s="40">
        <v>1.0</v>
      </c>
      <c r="J9" s="14">
        <v>0.0</v>
      </c>
    </row>
    <row r="10" ht="60.0" customHeight="1">
      <c r="A10" s="5" t="str">
        <f>IMAGE("https://res.cloudinary.com/dlbhgbxbf/image/upload/v1767894619/OP14-080_jp.png",4,80,60)</f>
        <v/>
      </c>
      <c r="B10" s="6" t="s">
        <v>148</v>
      </c>
      <c r="C10" s="39">
        <v>2.0</v>
      </c>
      <c r="D10" s="39">
        <v>2.0</v>
      </c>
      <c r="E10" s="39">
        <v>0.0</v>
      </c>
      <c r="F10" s="8">
        <v>1.0</v>
      </c>
      <c r="G10" s="39">
        <v>1.0</v>
      </c>
      <c r="H10" s="8">
        <v>1.0</v>
      </c>
      <c r="I10" s="39">
        <v>1.0</v>
      </c>
      <c r="J10" s="8">
        <v>1.0</v>
      </c>
    </row>
    <row r="11" ht="60.0" customHeight="1">
      <c r="A11" s="11" t="str">
        <f>IMAGE("https://res.cloudinary.com/dlbhgbxbf/image/upload/v1767894619/OP07-059_jp.png",4,80,60)</f>
        <v/>
      </c>
      <c r="B11" s="12" t="s">
        <v>153</v>
      </c>
      <c r="C11" s="40">
        <v>2.0</v>
      </c>
      <c r="D11" s="40">
        <v>0.0</v>
      </c>
      <c r="E11" s="40">
        <v>2.0</v>
      </c>
      <c r="F11" s="14">
        <v>0.0</v>
      </c>
      <c r="G11" s="40">
        <v>1.0</v>
      </c>
      <c r="H11" s="14">
        <v>0.0</v>
      </c>
      <c r="I11" s="40">
        <v>1.0</v>
      </c>
      <c r="J11" s="14">
        <v>0.0</v>
      </c>
    </row>
    <row r="12" ht="60.0" customHeight="1">
      <c r="A12" s="5" t="str">
        <f>IMAGE("https://res.cloudinary.com/dlbhgbxbf/image/upload/v1767894619/OP12-081_jp.png",4,80,60)</f>
        <v/>
      </c>
      <c r="B12" s="6" t="s">
        <v>71</v>
      </c>
      <c r="C12" s="39">
        <v>1.0</v>
      </c>
      <c r="D12" s="39">
        <v>1.0</v>
      </c>
      <c r="E12" s="39">
        <v>0.0</v>
      </c>
      <c r="F12" s="8">
        <v>1.0</v>
      </c>
      <c r="G12" s="39">
        <v>1.0</v>
      </c>
      <c r="H12" s="8">
        <v>1.0</v>
      </c>
      <c r="I12" s="39">
        <v>0.0</v>
      </c>
      <c r="J12" s="8" t="s">
        <v>26</v>
      </c>
    </row>
    <row r="13" ht="60.0" customHeight="1">
      <c r="A13" s="11" t="str">
        <f>IMAGE("https://res.cloudinary.com/dlbhgbxbf/image/upload/v1767894619/OP11-001_jp.png",4,80,60)</f>
        <v/>
      </c>
      <c r="B13" s="12" t="s">
        <v>63</v>
      </c>
      <c r="C13" s="40">
        <v>1.0</v>
      </c>
      <c r="D13" s="40">
        <v>1.0</v>
      </c>
      <c r="E13" s="40">
        <v>0.0</v>
      </c>
      <c r="F13" s="14">
        <v>1.0</v>
      </c>
      <c r="G13" s="40">
        <v>1.0</v>
      </c>
      <c r="H13" s="14">
        <v>1.0</v>
      </c>
      <c r="I13" s="40">
        <v>0.0</v>
      </c>
      <c r="J13" s="14" t="s">
        <v>26</v>
      </c>
    </row>
    <row r="14" ht="60.0" customHeight="1">
      <c r="A14" s="5" t="str">
        <f>IMAGE("https://res.cloudinary.com/dlbhgbxbf/image/upload/v1767894619/OP07-097_jp.png",4,80,60)</f>
        <v/>
      </c>
      <c r="B14" s="6" t="s">
        <v>102</v>
      </c>
      <c r="C14" s="39">
        <v>1.0</v>
      </c>
      <c r="D14" s="39">
        <v>1.0</v>
      </c>
      <c r="E14" s="39">
        <v>0.0</v>
      </c>
      <c r="F14" s="8">
        <v>1.0</v>
      </c>
      <c r="G14" s="39">
        <v>1.0</v>
      </c>
      <c r="H14" s="8">
        <v>1.0</v>
      </c>
      <c r="I14" s="39">
        <v>0.0</v>
      </c>
      <c r="J14" s="8" t="s">
        <v>26</v>
      </c>
    </row>
    <row r="15" ht="60.0" customHeight="1">
      <c r="A15" s="11" t="str">
        <f>IMAGE("https://res.cloudinary.com/dlbhgbxbf/image/upload/v1767894619/OP06-022_jp.png",4,80,60)</f>
        <v/>
      </c>
      <c r="B15" s="12" t="s">
        <v>106</v>
      </c>
      <c r="C15" s="40">
        <v>1.0</v>
      </c>
      <c r="D15" s="40">
        <v>1.0</v>
      </c>
      <c r="E15" s="40">
        <v>0.0</v>
      </c>
      <c r="F15" s="14">
        <v>1.0</v>
      </c>
      <c r="G15" s="40">
        <v>1.0</v>
      </c>
      <c r="H15" s="14">
        <v>1.0</v>
      </c>
      <c r="I15" s="40">
        <v>0.0</v>
      </c>
      <c r="J15" s="14" t="s">
        <v>26</v>
      </c>
    </row>
    <row r="16" ht="60.0" customHeight="1">
      <c r="A16" s="5" t="str">
        <f>IMAGE("https://res.cloudinary.com/dlbhgbxbf/image/upload/v1767894619/OP12-041_jp.png",4,80,60)</f>
        <v/>
      </c>
      <c r="B16" s="6" t="s">
        <v>114</v>
      </c>
      <c r="C16" s="39">
        <v>1.0</v>
      </c>
      <c r="D16" s="39">
        <v>1.0</v>
      </c>
      <c r="E16" s="39">
        <v>0.0</v>
      </c>
      <c r="F16" s="8">
        <v>1.0</v>
      </c>
      <c r="G16" s="39">
        <v>1.0</v>
      </c>
      <c r="H16" s="8">
        <v>1.0</v>
      </c>
      <c r="I16" s="39">
        <v>0.0</v>
      </c>
      <c r="J16" s="8" t="s">
        <v>26</v>
      </c>
    </row>
    <row r="17" ht="60.0" customHeight="1">
      <c r="A17" s="11" t="str">
        <f>IMAGE("https://res.cloudinary.com/dlbhgbxbf/image/upload/v1767894619/OP12-020_jp.png",4,80,60)</f>
        <v/>
      </c>
      <c r="B17" s="12" t="s">
        <v>137</v>
      </c>
      <c r="C17" s="40">
        <v>1.0</v>
      </c>
      <c r="D17" s="40">
        <v>1.0</v>
      </c>
      <c r="E17" s="40">
        <v>0.0</v>
      </c>
      <c r="F17" s="14">
        <v>1.0</v>
      </c>
      <c r="G17" s="40">
        <v>0.0</v>
      </c>
      <c r="H17" s="14" t="s">
        <v>26</v>
      </c>
      <c r="I17" s="40">
        <v>1.0</v>
      </c>
      <c r="J17" s="14">
        <v>1.0</v>
      </c>
    </row>
    <row r="18" ht="60.0" customHeight="1">
      <c r="A18" s="5" t="str">
        <f>IMAGE("https://res.cloudinary.com/dlbhgbxbf/image/upload/v1767894619/OP09-001_jp.png",4,80,60)</f>
        <v/>
      </c>
      <c r="B18" s="6" t="s">
        <v>140</v>
      </c>
      <c r="C18" s="39">
        <v>1.0</v>
      </c>
      <c r="D18" s="39">
        <v>1.0</v>
      </c>
      <c r="E18" s="39">
        <v>0.0</v>
      </c>
      <c r="F18" s="8">
        <v>1.0</v>
      </c>
      <c r="G18" s="39">
        <v>0.0</v>
      </c>
      <c r="H18" s="8" t="s">
        <v>26</v>
      </c>
      <c r="I18" s="39">
        <v>1.0</v>
      </c>
      <c r="J18" s="8">
        <v>1.0</v>
      </c>
    </row>
    <row r="19" ht="60.0" customHeight="1">
      <c r="A19" s="11" t="str">
        <f>IMAGE("https://res.cloudinary.com/dlbhgbxbf/image/upload/v1767894619/OP13-079_jp.png",4,80,60)</f>
        <v/>
      </c>
      <c r="B19" s="12" t="s">
        <v>145</v>
      </c>
      <c r="C19" s="40">
        <v>1.0</v>
      </c>
      <c r="D19" s="40">
        <v>1.0</v>
      </c>
      <c r="E19" s="40">
        <v>0.0</v>
      </c>
      <c r="F19" s="14">
        <v>1.0</v>
      </c>
      <c r="G19" s="40">
        <v>0.0</v>
      </c>
      <c r="H19" s="14" t="s">
        <v>26</v>
      </c>
      <c r="I19" s="40">
        <v>1.0</v>
      </c>
      <c r="J19" s="14">
        <v>1.0</v>
      </c>
    </row>
    <row r="20" ht="60.0" customHeight="1">
      <c r="A20" s="5" t="str">
        <f>IMAGE("https://res.cloudinary.com/dlbhgbxbf/image/upload/v1767894619/OP09-042_jp.png",4,80,60)</f>
        <v/>
      </c>
      <c r="B20" s="6" t="s">
        <v>169</v>
      </c>
      <c r="C20" s="39">
        <v>1.0</v>
      </c>
      <c r="D20" s="39">
        <v>1.0</v>
      </c>
      <c r="E20" s="39">
        <v>0.0</v>
      </c>
      <c r="F20" s="8">
        <v>1.0</v>
      </c>
      <c r="G20" s="39">
        <v>1.0</v>
      </c>
      <c r="H20" s="8">
        <v>1.0</v>
      </c>
      <c r="I20" s="39">
        <v>0.0</v>
      </c>
      <c r="J20" s="8" t="s">
        <v>26</v>
      </c>
    </row>
    <row r="21" ht="60.0" customHeight="1">
      <c r="A21" s="11" t="str">
        <f>IMAGE("https://res.cloudinary.com/dlbhgbxbf/image/upload/v1767894619/OP14-040_jp.png",4,80,60)</f>
        <v/>
      </c>
      <c r="B21" s="12" t="s">
        <v>174</v>
      </c>
      <c r="C21" s="40">
        <v>1.0</v>
      </c>
      <c r="D21" s="40">
        <v>0.0</v>
      </c>
      <c r="E21" s="40">
        <v>1.0</v>
      </c>
      <c r="F21" s="14">
        <v>0.0</v>
      </c>
      <c r="G21" s="40">
        <v>1.0</v>
      </c>
      <c r="H21" s="14">
        <v>0.0</v>
      </c>
      <c r="I21" s="40">
        <v>0.0</v>
      </c>
      <c r="J21" s="14" t="s">
        <v>26</v>
      </c>
    </row>
    <row r="22" ht="60.0" customHeight="1">
      <c r="A22" s="5" t="str">
        <f>IMAGE("https://res.cloudinary.com/dlbhgbxbf/image/upload/v1767894619/OP12-061_jp.png",4,80,60)</f>
        <v/>
      </c>
      <c r="B22" s="6" t="s">
        <v>180</v>
      </c>
      <c r="C22" s="39">
        <v>1.0</v>
      </c>
      <c r="D22" s="39">
        <v>0.0</v>
      </c>
      <c r="E22" s="39">
        <v>1.0</v>
      </c>
      <c r="F22" s="8">
        <v>0.0</v>
      </c>
      <c r="G22" s="39">
        <v>1.0</v>
      </c>
      <c r="H22" s="8">
        <v>0.0</v>
      </c>
      <c r="I22" s="39">
        <v>0.0</v>
      </c>
      <c r="J22" s="8" t="s">
        <v>26</v>
      </c>
    </row>
  </sheetData>
  <conditionalFormatting sqref="F2:F22">
    <cfRule type="cellIs" dxfId="4" priority="1" stopIfTrue="1" operator="equal">
      <formula>"-"</formula>
    </cfRule>
  </conditionalFormatting>
  <conditionalFormatting sqref="F2:F22">
    <cfRule type="cellIs" dxfId="0" priority="2" stopIfTrue="1" operator="lessThanOrEqual">
      <formula>0.39</formula>
    </cfRule>
  </conditionalFormatting>
  <conditionalFormatting sqref="F2:F22">
    <cfRule type="cellIs" dxfId="1" priority="3" stopIfTrue="1" operator="between">
      <formula>0.4</formula>
      <formula>0.49</formula>
    </cfRule>
  </conditionalFormatting>
  <conditionalFormatting sqref="F2:F22">
    <cfRule type="cellIs" dxfId="2" priority="4" stopIfTrue="1" operator="between">
      <formula>0.5</formula>
      <formula>0.6</formula>
    </cfRule>
  </conditionalFormatting>
  <conditionalFormatting sqref="F2:F22">
    <cfRule type="cellIs" dxfId="3" priority="5" stopIfTrue="1" operator="greaterThanOrEqual">
      <formula>0.6</formula>
    </cfRule>
  </conditionalFormatting>
  <conditionalFormatting sqref="H2:H22">
    <cfRule type="cellIs" dxfId="4" priority="6" stopIfTrue="1" operator="equal">
      <formula>"-"</formula>
    </cfRule>
  </conditionalFormatting>
  <conditionalFormatting sqref="H2:H22">
    <cfRule type="cellIs" dxfId="0" priority="7" stopIfTrue="1" operator="lessThanOrEqual">
      <formula>0.39</formula>
    </cfRule>
  </conditionalFormatting>
  <conditionalFormatting sqref="H2:H22">
    <cfRule type="cellIs" dxfId="1" priority="8" stopIfTrue="1" operator="between">
      <formula>0.4</formula>
      <formula>0.49</formula>
    </cfRule>
  </conditionalFormatting>
  <conditionalFormatting sqref="H2:H22">
    <cfRule type="cellIs" dxfId="2" priority="9" stopIfTrue="1" operator="between">
      <formula>0.5</formula>
      <formula>0.6</formula>
    </cfRule>
  </conditionalFormatting>
  <conditionalFormatting sqref="H2:H22">
    <cfRule type="cellIs" dxfId="3" priority="10" stopIfTrue="1" operator="greaterThanOrEqual">
      <formula>0.6</formula>
    </cfRule>
  </conditionalFormatting>
  <conditionalFormatting sqref="J2:J22">
    <cfRule type="cellIs" dxfId="4" priority="11" stopIfTrue="1" operator="equal">
      <formula>"-"</formula>
    </cfRule>
  </conditionalFormatting>
  <conditionalFormatting sqref="J2:J22">
    <cfRule type="cellIs" dxfId="0" priority="12" stopIfTrue="1" operator="lessThanOrEqual">
      <formula>0.39</formula>
    </cfRule>
  </conditionalFormatting>
  <conditionalFormatting sqref="J2:J22">
    <cfRule type="cellIs" dxfId="1" priority="13" stopIfTrue="1" operator="between">
      <formula>0.4</formula>
      <formula>0.49</formula>
    </cfRule>
  </conditionalFormatting>
  <conditionalFormatting sqref="J2:J22">
    <cfRule type="cellIs" dxfId="2" priority="14" stopIfTrue="1" operator="between">
      <formula>0.5</formula>
      <formula>0.6</formula>
    </cfRule>
  </conditionalFormatting>
  <conditionalFormatting sqref="J2:J22">
    <cfRule type="cellIs" dxfId="3" priority="15" stopIfTrue="1" operator="greaterThanOrEqual">
      <formula>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197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198</v>
      </c>
      <c r="H1" s="3" t="s">
        <v>11</v>
      </c>
      <c r="I1" s="3" t="s">
        <v>199</v>
      </c>
      <c r="J1" s="3" t="s">
        <v>11</v>
      </c>
    </row>
    <row r="2" ht="60.0" customHeight="1">
      <c r="A2" s="5" t="str">
        <f>IMAGE("https://res.cloudinary.com/dlbhgbxbf/image/upload/v1767894619/ST29-001_jp.png",4,80,60)</f>
        <v/>
      </c>
      <c r="B2" s="6" t="s">
        <v>90</v>
      </c>
      <c r="C2" s="39">
        <v>5.0</v>
      </c>
      <c r="D2" s="39">
        <v>3.0</v>
      </c>
      <c r="E2" s="39">
        <v>2.0</v>
      </c>
      <c r="F2" s="8">
        <v>0.6</v>
      </c>
      <c r="G2" s="39">
        <v>2.0</v>
      </c>
      <c r="H2" s="8">
        <v>1.0</v>
      </c>
      <c r="I2" s="39">
        <v>3.0</v>
      </c>
      <c r="J2" s="8">
        <v>0.3333333333333333</v>
      </c>
    </row>
    <row r="3" ht="60.0" customHeight="1">
      <c r="A3" s="11" t="str">
        <f>IMAGE("https://res.cloudinary.com/dlbhgbxbf/image/upload/v1767894619/OP13-004_jp.png",4,80,60)</f>
        <v/>
      </c>
      <c r="B3" s="12" t="s">
        <v>66</v>
      </c>
      <c r="C3" s="40">
        <v>2.0</v>
      </c>
      <c r="D3" s="40">
        <v>2.0</v>
      </c>
      <c r="E3" s="40">
        <v>0.0</v>
      </c>
      <c r="F3" s="14">
        <v>1.0</v>
      </c>
      <c r="G3" s="40">
        <v>1.0</v>
      </c>
      <c r="H3" s="14">
        <v>1.0</v>
      </c>
      <c r="I3" s="40">
        <v>1.0</v>
      </c>
      <c r="J3" s="14">
        <v>1.0</v>
      </c>
    </row>
    <row r="4" ht="60.0" customHeight="1">
      <c r="A4" s="5" t="str">
        <f>IMAGE("https://res.cloudinary.com/dlbhgbxbf/image/upload/v1767894619/OP14-020_jp.png",4,80,60)</f>
        <v/>
      </c>
      <c r="B4" s="6" t="s">
        <v>76</v>
      </c>
      <c r="C4" s="39">
        <v>1.0</v>
      </c>
      <c r="D4" s="39">
        <v>1.0</v>
      </c>
      <c r="E4" s="39">
        <v>0.0</v>
      </c>
      <c r="F4" s="8">
        <v>1.0</v>
      </c>
      <c r="G4" s="39">
        <v>0.0</v>
      </c>
      <c r="H4" s="8" t="s">
        <v>26</v>
      </c>
      <c r="I4" s="39">
        <v>1.0</v>
      </c>
      <c r="J4" s="8">
        <v>1.0</v>
      </c>
    </row>
    <row r="5" ht="60.0" customHeight="1">
      <c r="A5" s="11" t="str">
        <f>IMAGE("https://res.cloudinary.com/dlbhgbxbf/image/upload/v1767894619/OP11-041_jp.png",4,80,60)</f>
        <v/>
      </c>
      <c r="B5" s="12" t="s">
        <v>50</v>
      </c>
      <c r="C5" s="40">
        <v>1.0</v>
      </c>
      <c r="D5" s="40">
        <v>0.0</v>
      </c>
      <c r="E5" s="40">
        <v>1.0</v>
      </c>
      <c r="F5" s="14">
        <v>0.0</v>
      </c>
      <c r="G5" s="40">
        <v>1.0</v>
      </c>
      <c r="H5" s="14">
        <v>0.0</v>
      </c>
      <c r="I5" s="40">
        <v>0.0</v>
      </c>
      <c r="J5" s="14" t="s">
        <v>26</v>
      </c>
    </row>
    <row r="6" ht="60.0" customHeight="1">
      <c r="A6" s="5" t="str">
        <f>IMAGE("https://res.cloudinary.com/dlbhgbxbf/image/upload/v1767894619/OP09-022_jp.png",4,80,60)</f>
        <v/>
      </c>
      <c r="B6" s="6" t="s">
        <v>54</v>
      </c>
      <c r="C6" s="39">
        <v>1.0</v>
      </c>
      <c r="D6" s="39">
        <v>0.0</v>
      </c>
      <c r="E6" s="39">
        <v>1.0</v>
      </c>
      <c r="F6" s="8">
        <v>0.0</v>
      </c>
      <c r="G6" s="39">
        <v>0.0</v>
      </c>
      <c r="H6" s="8" t="s">
        <v>26</v>
      </c>
      <c r="I6" s="39">
        <v>1.0</v>
      </c>
      <c r="J6" s="8">
        <v>0.0</v>
      </c>
    </row>
    <row r="7" ht="60.0" customHeight="1">
      <c r="A7" s="11" t="str">
        <f>IMAGE("https://res.cloudinary.com/dlbhgbxbf/image/upload/v1767894619/OP13-079_jp.png",4,80,60)</f>
        <v/>
      </c>
      <c r="B7" s="12" t="s">
        <v>145</v>
      </c>
      <c r="C7" s="40">
        <v>1.0</v>
      </c>
      <c r="D7" s="40">
        <v>0.0</v>
      </c>
      <c r="E7" s="40">
        <v>1.0</v>
      </c>
      <c r="F7" s="14">
        <v>0.0</v>
      </c>
      <c r="G7" s="40">
        <v>1.0</v>
      </c>
      <c r="H7" s="14">
        <v>0.0</v>
      </c>
      <c r="I7" s="40">
        <v>0.0</v>
      </c>
      <c r="J7" s="14" t="s">
        <v>26</v>
      </c>
    </row>
    <row r="8" ht="60.0" customHeight="1">
      <c r="A8" s="5" t="str">
        <f>IMAGE("https://res.cloudinary.com/dlbhgbxbf/image/upload/v1767894619/OP11-040_jp.png",4,80,60)</f>
        <v/>
      </c>
      <c r="B8" s="6" t="s">
        <v>158</v>
      </c>
      <c r="C8" s="39">
        <v>1.0</v>
      </c>
      <c r="D8" s="39">
        <v>1.0</v>
      </c>
      <c r="E8" s="39">
        <v>0.0</v>
      </c>
      <c r="F8" s="8">
        <v>1.0</v>
      </c>
      <c r="G8" s="39">
        <v>0.0</v>
      </c>
      <c r="H8" s="8" t="s">
        <v>26</v>
      </c>
      <c r="I8" s="39">
        <v>1.0</v>
      </c>
      <c r="J8" s="8">
        <v>1.0</v>
      </c>
    </row>
    <row r="9" ht="60.0" customHeight="1">
      <c r="A9" s="11" t="str">
        <f>IMAGE("https://res.cloudinary.com/dlbhgbxbf/image/upload/v1767894619/OP13-002_jp.png",4,80,60)</f>
        <v/>
      </c>
      <c r="B9" s="12" t="s">
        <v>79</v>
      </c>
      <c r="C9" s="40">
        <v>1.0</v>
      </c>
      <c r="D9" s="40">
        <v>0.0</v>
      </c>
      <c r="E9" s="40">
        <v>1.0</v>
      </c>
      <c r="F9" s="14">
        <v>0.0</v>
      </c>
      <c r="G9" s="40">
        <v>1.0</v>
      </c>
      <c r="H9" s="14">
        <v>0.0</v>
      </c>
      <c r="I9" s="40">
        <v>0.0</v>
      </c>
      <c r="J9" s="14" t="s">
        <v>26</v>
      </c>
    </row>
    <row r="10" ht="60.0" customHeight="1">
      <c r="A10" s="5" t="str">
        <f>IMAGE("https://res.cloudinary.com/dlbhgbxbf/image/upload/v1767894619/OP14-041_jp.png",4,80,60)</f>
        <v/>
      </c>
      <c r="B10" s="6" t="s">
        <v>94</v>
      </c>
      <c r="C10" s="39">
        <v>1.0</v>
      </c>
      <c r="D10" s="39">
        <v>1.0</v>
      </c>
      <c r="E10" s="39">
        <v>0.0</v>
      </c>
      <c r="F10" s="8">
        <v>1.0</v>
      </c>
      <c r="G10" s="39">
        <v>1.0</v>
      </c>
      <c r="H10" s="8">
        <v>1.0</v>
      </c>
      <c r="I10" s="39">
        <v>0.0</v>
      </c>
      <c r="J10" s="8" t="s">
        <v>26</v>
      </c>
    </row>
    <row r="11" ht="60.0" customHeight="1">
      <c r="A11" s="11" t="str">
        <f>IMAGE("https://res.cloudinary.com/dlbhgbxbf/image/upload/v1767894619/OP09-081_jp.png",4,80,60)</f>
        <v/>
      </c>
      <c r="B11" s="12" t="s">
        <v>191</v>
      </c>
      <c r="C11" s="40">
        <v>1.0</v>
      </c>
      <c r="D11" s="40">
        <v>0.0</v>
      </c>
      <c r="E11" s="40">
        <v>1.0</v>
      </c>
      <c r="F11" s="14">
        <v>0.0</v>
      </c>
      <c r="G11" s="40">
        <v>1.0</v>
      </c>
      <c r="H11" s="14">
        <v>0.0</v>
      </c>
      <c r="I11" s="40">
        <v>0.0</v>
      </c>
      <c r="J11" s="14" t="s">
        <v>26</v>
      </c>
    </row>
  </sheetData>
  <conditionalFormatting sqref="F2:F11">
    <cfRule type="cellIs" dxfId="4" priority="1" stopIfTrue="1" operator="equal">
      <formula>"-"</formula>
    </cfRule>
  </conditionalFormatting>
  <conditionalFormatting sqref="F2:F11">
    <cfRule type="cellIs" dxfId="0" priority="2" stopIfTrue="1" operator="lessThanOrEqual">
      <formula>0.39</formula>
    </cfRule>
  </conditionalFormatting>
  <conditionalFormatting sqref="F2:F11">
    <cfRule type="cellIs" dxfId="1" priority="3" stopIfTrue="1" operator="between">
      <formula>0.4</formula>
      <formula>0.49</formula>
    </cfRule>
  </conditionalFormatting>
  <conditionalFormatting sqref="F2:F11">
    <cfRule type="cellIs" dxfId="2" priority="4" stopIfTrue="1" operator="between">
      <formula>0.5</formula>
      <formula>0.6</formula>
    </cfRule>
  </conditionalFormatting>
  <conditionalFormatting sqref="F2:F11">
    <cfRule type="cellIs" dxfId="3" priority="5" stopIfTrue="1" operator="greaterThanOrEqual">
      <formula>0.6</formula>
    </cfRule>
  </conditionalFormatting>
  <conditionalFormatting sqref="H2:H11">
    <cfRule type="cellIs" dxfId="4" priority="6" stopIfTrue="1" operator="equal">
      <formula>"-"</formula>
    </cfRule>
  </conditionalFormatting>
  <conditionalFormatting sqref="H2:H11">
    <cfRule type="cellIs" dxfId="0" priority="7" stopIfTrue="1" operator="lessThanOrEqual">
      <formula>0.39</formula>
    </cfRule>
  </conditionalFormatting>
  <conditionalFormatting sqref="H2:H11">
    <cfRule type="cellIs" dxfId="1" priority="8" stopIfTrue="1" operator="between">
      <formula>0.4</formula>
      <formula>0.49</formula>
    </cfRule>
  </conditionalFormatting>
  <conditionalFormatting sqref="H2:H11">
    <cfRule type="cellIs" dxfId="2" priority="9" stopIfTrue="1" operator="between">
      <formula>0.5</formula>
      <formula>0.6</formula>
    </cfRule>
  </conditionalFormatting>
  <conditionalFormatting sqref="H2:H11">
    <cfRule type="cellIs" dxfId="3" priority="10" stopIfTrue="1" operator="greaterThanOrEqual">
      <formula>0.6</formula>
    </cfRule>
  </conditionalFormatting>
  <conditionalFormatting sqref="J2:J11">
    <cfRule type="cellIs" dxfId="4" priority="11" stopIfTrue="1" operator="equal">
      <formula>"-"</formula>
    </cfRule>
  </conditionalFormatting>
  <conditionalFormatting sqref="J2:J11">
    <cfRule type="cellIs" dxfId="0" priority="12" stopIfTrue="1" operator="lessThanOrEqual">
      <formula>0.39</formula>
    </cfRule>
  </conditionalFormatting>
  <conditionalFormatting sqref="J2:J11">
    <cfRule type="cellIs" dxfId="1" priority="13" stopIfTrue="1" operator="between">
      <formula>0.4</formula>
      <formula>0.49</formula>
    </cfRule>
  </conditionalFormatting>
  <conditionalFormatting sqref="J2:J11">
    <cfRule type="cellIs" dxfId="2" priority="14" stopIfTrue="1" operator="between">
      <formula>0.5</formula>
      <formula>0.6</formula>
    </cfRule>
  </conditionalFormatting>
  <conditionalFormatting sqref="J2:J11">
    <cfRule type="cellIs" dxfId="3" priority="15" stopIfTrue="1" operator="greaterThanOrEqual">
      <formula>0.6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197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198</v>
      </c>
      <c r="H1" s="3" t="s">
        <v>11</v>
      </c>
      <c r="I1" s="3" t="s">
        <v>199</v>
      </c>
      <c r="J1" s="3" t="s">
        <v>11</v>
      </c>
    </row>
    <row r="2" ht="60.0" customHeight="1">
      <c r="A2" s="5" t="str">
        <f>IMAGE("https://res.cloudinary.com/dlbhgbxbf/image/upload/v1767894619/OP14-079_jp.png",4,80,60)</f>
        <v/>
      </c>
      <c r="B2" s="6" t="s">
        <v>80</v>
      </c>
      <c r="C2" s="39">
        <v>4.0</v>
      </c>
      <c r="D2" s="39">
        <v>3.0</v>
      </c>
      <c r="E2" s="39">
        <v>1.0</v>
      </c>
      <c r="F2" s="8">
        <v>0.75</v>
      </c>
      <c r="G2" s="39">
        <v>1.0</v>
      </c>
      <c r="H2" s="8">
        <v>1.0</v>
      </c>
      <c r="I2" s="39">
        <v>3.0</v>
      </c>
      <c r="J2" s="8">
        <v>0.6666666666666666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3" t="s">
        <v>6</v>
      </c>
      <c r="B1" s="3" t="s">
        <v>197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198</v>
      </c>
      <c r="H1" s="3" t="s">
        <v>11</v>
      </c>
      <c r="I1" s="3" t="s">
        <v>199</v>
      </c>
      <c r="J1" s="3" t="s">
        <v>11</v>
      </c>
    </row>
    <row r="2" ht="60.0" customHeight="1">
      <c r="A2" s="5" t="str">
        <f>IMAGE("https://res.cloudinary.com/dlbhgbxbf/image/upload/v1767894619/OP13-003_jp.png",4,80,60)</f>
        <v/>
      </c>
      <c r="B2" s="6" t="s">
        <v>188</v>
      </c>
      <c r="C2" s="39">
        <v>1.0</v>
      </c>
      <c r="D2" s="39">
        <v>0.0</v>
      </c>
      <c r="E2" s="39">
        <v>1.0</v>
      </c>
      <c r="F2" s="8">
        <v>0.0</v>
      </c>
      <c r="G2" s="39">
        <v>1.0</v>
      </c>
      <c r="H2" s="8">
        <v>0.0</v>
      </c>
      <c r="I2" s="39">
        <v>0.0</v>
      </c>
      <c r="J2" s="8" t="s">
        <v>26</v>
      </c>
    </row>
  </sheetData>
  <conditionalFormatting sqref="F2">
    <cfRule type="cellIs" dxfId="4" priority="1" stopIfTrue="1" operator="equal">
      <formula>"-"</formula>
    </cfRule>
  </conditionalFormatting>
  <conditionalFormatting sqref="F2">
    <cfRule type="cellIs" dxfId="0" priority="2" stopIfTrue="1" operator="lessThanOrEqual">
      <formula>0.39</formula>
    </cfRule>
  </conditionalFormatting>
  <conditionalFormatting sqref="F2">
    <cfRule type="cellIs" dxfId="1" priority="3" stopIfTrue="1" operator="between">
      <formula>0.4</formula>
      <formula>0.49</formula>
    </cfRule>
  </conditionalFormatting>
  <conditionalFormatting sqref="F2">
    <cfRule type="cellIs" dxfId="2" priority="4" stopIfTrue="1" operator="between">
      <formula>0.5</formula>
      <formula>0.6</formula>
    </cfRule>
  </conditionalFormatting>
  <conditionalFormatting sqref="F2">
    <cfRule type="cellIs" dxfId="3" priority="5" stopIfTrue="1" operator="greaterThanOrEqual">
      <formula>0.6</formula>
    </cfRule>
  </conditionalFormatting>
  <conditionalFormatting sqref="H2">
    <cfRule type="cellIs" dxfId="4" priority="6" stopIfTrue="1" operator="equal">
      <formula>"-"</formula>
    </cfRule>
  </conditionalFormatting>
  <conditionalFormatting sqref="H2">
    <cfRule type="cellIs" dxfId="0" priority="7" stopIfTrue="1" operator="lessThanOrEqual">
      <formula>0.39</formula>
    </cfRule>
  </conditionalFormatting>
  <conditionalFormatting sqref="H2">
    <cfRule type="cellIs" dxfId="1" priority="8" stopIfTrue="1" operator="between">
      <formula>0.4</formula>
      <formula>0.49</formula>
    </cfRule>
  </conditionalFormatting>
  <conditionalFormatting sqref="H2">
    <cfRule type="cellIs" dxfId="2" priority="9" stopIfTrue="1" operator="between">
      <formula>0.5</formula>
      <formula>0.6</formula>
    </cfRule>
  </conditionalFormatting>
  <conditionalFormatting sqref="H2">
    <cfRule type="cellIs" dxfId="3" priority="10" stopIfTrue="1" operator="greaterThanOrEqual">
      <formula>0.6</formula>
    </cfRule>
  </conditionalFormatting>
  <conditionalFormatting sqref="J2">
    <cfRule type="cellIs" dxfId="4" priority="11" stopIfTrue="1" operator="equal">
      <formula>"-"</formula>
    </cfRule>
  </conditionalFormatting>
  <conditionalFormatting sqref="J2">
    <cfRule type="cellIs" dxfId="0" priority="12" stopIfTrue="1" operator="lessThanOrEqual">
      <formula>0.39</formula>
    </cfRule>
  </conditionalFormatting>
  <conditionalFormatting sqref="J2">
    <cfRule type="cellIs" dxfId="1" priority="13" stopIfTrue="1" operator="between">
      <formula>0.4</formula>
      <formula>0.49</formula>
    </cfRule>
  </conditionalFormatting>
  <conditionalFormatting sqref="J2">
    <cfRule type="cellIs" dxfId="2" priority="14" stopIfTrue="1" operator="between">
      <formula>0.5</formula>
      <formula>0.6</formula>
    </cfRule>
  </conditionalFormatting>
  <conditionalFormatting sqref="J2">
    <cfRule type="cellIs" dxfId="3" priority="15" stopIfTrue="1" operator="greaterThanOrEqual">
      <formula>0.6</formula>
    </cfRule>
  </conditionalFormatting>
  <drawing r:id="rId1"/>
</worksheet>
</file>
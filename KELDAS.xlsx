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hidden" name="RAW_MATCHES" sheetId="2" r:id="rId6"/>
    <sheet state="visible" name="RESUMEN" sheetId="3" r:id="rId7"/>
    <sheet state="visible" name="Koala (OP12-081)" sheetId="4" r:id="rId8"/>
    <sheet state="visible" name="Arlong (OP03-022)" sheetId="5" r:id="rId9"/>
    <sheet state="visible" name="Caesar Clown (OP10-002)" sheetId="6" r:id="rId10"/>
  </sheets>
  <definedNames/>
  <calcPr/>
</workbook>
</file>

<file path=xl/sharedStrings.xml><?xml version="1.0" encoding="utf-8"?>
<sst xmlns="http://schemas.openxmlformats.org/spreadsheetml/2006/main" count="153" uniqueCount="64">
  <si>
    <t>Nombre</t>
  </si>
  <si>
    <t>Inicio</t>
  </si>
  <si>
    <t>Fin</t>
  </si>
  <si>
    <t>OP14</t>
  </si>
  <si>
    <t>OP14 + EB03</t>
  </si>
  <si>
    <t>OP15</t>
  </si>
  <si>
    <t>Date</t>
  </si>
  <si>
    <t>Leader</t>
  </si>
  <si>
    <t>LeaderName</t>
  </si>
  <si>
    <t>OppLeader</t>
  </si>
  <si>
    <t>OppLeaderName</t>
  </si>
  <si>
    <t>Win</t>
  </si>
  <si>
    <t>First</t>
  </si>
  <si>
    <t>Thu, 26 Feb 2026 22:07:28 GMT</t>
  </si>
  <si>
    <t>OP12-081</t>
  </si>
  <si>
    <t>Koala</t>
  </si>
  <si>
    <t>ST29-001</t>
  </si>
  <si>
    <t>Monkey D. Luffy</t>
  </si>
  <si>
    <t>Thu, 26 Feb 2026 21:58:24 GMT</t>
  </si>
  <si>
    <t>Tue, 24 Feb 2026 22:18:30 GMT</t>
  </si>
  <si>
    <t>OP14-060</t>
  </si>
  <si>
    <t>Donquixote Doflamingo</t>
  </si>
  <si>
    <t>Sun, 08 Feb 2026 20:42:51 GMT</t>
  </si>
  <si>
    <t>OP03-022</t>
  </si>
  <si>
    <t>Arlong</t>
  </si>
  <si>
    <t>Sun, 08 Feb 2026 20:35:11 GMT</t>
  </si>
  <si>
    <t>Sun, 08 Feb 2026 09:43:43 GMT</t>
  </si>
  <si>
    <t>OP10-002</t>
  </si>
  <si>
    <t>Caesar Clown</t>
  </si>
  <si>
    <t>OP13-002</t>
  </si>
  <si>
    <t>Portgas.D.Ace</t>
  </si>
  <si>
    <t>Sun, 08 Feb 2026 09:32:52 GMT</t>
  </si>
  <si>
    <t>Sat, 07 Feb 2026 17:12:20 GMT</t>
  </si>
  <si>
    <t>OP14-001</t>
  </si>
  <si>
    <t>Trafalgar Law</t>
  </si>
  <si>
    <t>Sat, 07 Feb 2026 17:03:23 GMT</t>
  </si>
  <si>
    <t>Thu, 05 Feb 2026 21:55:05 GMT</t>
  </si>
  <si>
    <t>OP14-041</t>
  </si>
  <si>
    <t>Boa Hancock</t>
  </si>
  <si>
    <t>Tue, 03 Feb 2026 16:55:27 GMT</t>
  </si>
  <si>
    <t>OP09-081</t>
  </si>
  <si>
    <t>Marshall.D.Teach</t>
  </si>
  <si>
    <t>Image</t>
  </si>
  <si>
    <t>Partidas</t>
  </si>
  <si>
    <t>Victorias</t>
  </si>
  <si>
    <t>Derrotas</t>
  </si>
  <si>
    <t>WR</t>
  </si>
  <si>
    <t>Fav</t>
  </si>
  <si>
    <t>Desf</t>
  </si>
  <si>
    <t>EXPANSIÓN</t>
  </si>
  <si>
    <t>-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</si>
  <si>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</si>
  <si>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</si>
  <si>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r>
      <rPr>
        <rFont val="Arial"/>
        <color rgb="FF93C47D"/>
      </rPr>
      <t>VICTORIAS:</t>
    </r>
    <r>
      <rPr>
        <rFont val="Arial"/>
        <color theme="1"/>
      </rPr>
      <t xml:space="preserve"> 2
PARTIDAS: 2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</si>
  <si>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4</t>
    </r>
  </si>
  <si>
    <r>
      <rPr>
        <rFont val="Arial"/>
        <color rgb="FF93C47D"/>
      </rPr>
      <t>VICTORIAS:</t>
    </r>
    <r>
      <rPr>
        <rFont val="Arial"/>
        <color theme="1"/>
      </rPr>
      <t xml:space="preserve"> 1
PARTIDAS: 1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</si>
  <si>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2</t>
    </r>
  </si>
  <si>
    <r>
      <rPr>
        <rFont val="Arial"/>
        <color rgb="FF93C47D"/>
      </rPr>
      <t>VICTORIAS:</t>
    </r>
    <r>
      <rPr>
        <rFont val="Arial"/>
        <color theme="1"/>
      </rPr>
      <t xml:space="preserve"> 0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</si>
  <si>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2</t>
    </r>
  </si>
  <si>
    <r>
      <rPr>
        <rFont val="Arial"/>
        <color rgb="FF93C47D"/>
      </rPr>
      <t>VICTORIAS:</t>
    </r>
    <r>
      <rPr>
        <rFont val="Arial"/>
        <color theme="1"/>
      </rPr>
      <t xml:space="preserve"> 0
PARTIDAS: 1</t>
    </r>
  </si>
  <si>
    <r>
      <rPr>
        <rFont val="Arial"/>
        <color rgb="FFEA9999"/>
      </rPr>
      <t>DERROTAS:</t>
    </r>
    <r>
      <rPr>
        <rFont val="Arial"/>
        <color theme="1"/>
      </rPr>
      <t xml:space="preserve"> 1
PARTIDAS: 1</t>
    </r>
  </si>
  <si>
    <t>Rival</t>
  </si>
  <si>
    <t>1st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</si>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</sst>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0" fillId="0" fontId="1" numFmtId="1" xfId="0" applyFont="1" applyNumberFormat="1"/>
    <xf borderId="0" fillId="0" fontId="1" numFmtId="9" xfId="0" applyFont="1" applyNumberFormat="1"/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0.0</v>
      </c>
      <c r="G2" s="3">
        <v>1.0</v>
      </c>
    </row>
    <row r="3">
      <c r="A3" s="1" t="s">
        <v>18</v>
      </c>
      <c r="B3" s="1" t="s">
        <v>14</v>
      </c>
      <c r="C3" s="1" t="s">
        <v>15</v>
      </c>
      <c r="D3" s="1" t="s">
        <v>16</v>
      </c>
      <c r="E3" s="1" t="s">
        <v>17</v>
      </c>
      <c r="F3" s="3">
        <v>0.0</v>
      </c>
      <c r="G3" s="3">
        <v>1.0</v>
      </c>
    </row>
    <row r="4">
      <c r="A4" s="1" t="s">
        <v>19</v>
      </c>
      <c r="B4" s="1" t="s">
        <v>14</v>
      </c>
      <c r="C4" s="1" t="s">
        <v>15</v>
      </c>
      <c r="D4" s="1" t="s">
        <v>20</v>
      </c>
      <c r="E4" s="1" t="s">
        <v>21</v>
      </c>
      <c r="F4" s="3">
        <v>0.0</v>
      </c>
      <c r="G4" s="3">
        <v>1.0</v>
      </c>
    </row>
    <row r="5">
      <c r="A5" s="1" t="s">
        <v>22</v>
      </c>
      <c r="B5" s="1" t="s">
        <v>23</v>
      </c>
      <c r="C5" s="1" t="s">
        <v>24</v>
      </c>
      <c r="D5" s="1" t="s">
        <v>16</v>
      </c>
      <c r="E5" s="1" t="s">
        <v>17</v>
      </c>
      <c r="F5" s="3">
        <v>0.0</v>
      </c>
      <c r="G5" s="3">
        <v>0.0</v>
      </c>
    </row>
    <row r="6">
      <c r="A6" s="1" t="s">
        <v>25</v>
      </c>
      <c r="B6" s="1" t="s">
        <v>23</v>
      </c>
      <c r="C6" s="1" t="s">
        <v>24</v>
      </c>
      <c r="D6" s="1" t="s">
        <v>16</v>
      </c>
      <c r="E6" s="1" t="s">
        <v>17</v>
      </c>
      <c r="F6" s="3">
        <v>0.0</v>
      </c>
      <c r="G6" s="3">
        <v>0.0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3">
        <v>0.0</v>
      </c>
      <c r="G7" s="3">
        <v>0.0</v>
      </c>
    </row>
    <row r="8">
      <c r="A8" s="1" t="s">
        <v>31</v>
      </c>
      <c r="B8" s="1" t="s">
        <v>27</v>
      </c>
      <c r="C8" s="1" t="s">
        <v>28</v>
      </c>
      <c r="D8" s="1" t="s">
        <v>29</v>
      </c>
      <c r="E8" s="1" t="s">
        <v>30</v>
      </c>
      <c r="F8" s="3">
        <v>0.0</v>
      </c>
      <c r="G8" s="3">
        <v>0.0</v>
      </c>
    </row>
    <row r="9">
      <c r="A9" s="1" t="s">
        <v>32</v>
      </c>
      <c r="B9" s="1" t="s">
        <v>27</v>
      </c>
      <c r="C9" s="1" t="s">
        <v>28</v>
      </c>
      <c r="D9" s="1" t="s">
        <v>33</v>
      </c>
      <c r="E9" s="1" t="s">
        <v>34</v>
      </c>
      <c r="F9" s="3">
        <v>0.0</v>
      </c>
      <c r="G9" s="3">
        <v>1.0</v>
      </c>
    </row>
    <row r="10">
      <c r="A10" s="1" t="s">
        <v>35</v>
      </c>
      <c r="B10" s="1" t="s">
        <v>27</v>
      </c>
      <c r="C10" s="1" t="s">
        <v>28</v>
      </c>
      <c r="D10" s="1" t="s">
        <v>33</v>
      </c>
      <c r="E10" s="1" t="s">
        <v>34</v>
      </c>
      <c r="F10" s="3">
        <v>0.0</v>
      </c>
      <c r="G10" s="3">
        <v>1.0</v>
      </c>
    </row>
    <row r="11">
      <c r="A11" s="1" t="s">
        <v>36</v>
      </c>
      <c r="B11" s="1" t="s">
        <v>14</v>
      </c>
      <c r="C11" s="1" t="s">
        <v>15</v>
      </c>
      <c r="D11" s="1" t="s">
        <v>37</v>
      </c>
      <c r="E11" s="1" t="s">
        <v>38</v>
      </c>
      <c r="F11" s="3">
        <v>1.0</v>
      </c>
      <c r="G11" s="3">
        <v>1.0</v>
      </c>
    </row>
    <row r="12">
      <c r="A12" s="1" t="s">
        <v>39</v>
      </c>
      <c r="B12" s="1" t="s">
        <v>14</v>
      </c>
      <c r="C12" s="1" t="s">
        <v>15</v>
      </c>
      <c r="D12" s="1" t="s">
        <v>40</v>
      </c>
      <c r="E12" s="1" t="s">
        <v>41</v>
      </c>
      <c r="F12" s="3">
        <v>1.0</v>
      </c>
      <c r="G12" s="3">
        <v>1.0</v>
      </c>
    </row>
    <row r="13">
      <c r="A13" s="1" t="s">
        <v>39</v>
      </c>
      <c r="B13" s="1" t="s">
        <v>14</v>
      </c>
      <c r="C13" s="1" t="s">
        <v>15</v>
      </c>
      <c r="D13" s="1" t="s">
        <v>40</v>
      </c>
      <c r="E13" s="1" t="s">
        <v>41</v>
      </c>
      <c r="F13" s="3">
        <v>1.0</v>
      </c>
      <c r="G13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4" t="s">
        <v>42</v>
      </c>
      <c r="B1" s="4" t="s">
        <v>7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46</v>
      </c>
      <c r="I1" s="4" t="s">
        <v>48</v>
      </c>
      <c r="J1" s="4" t="s">
        <v>46</v>
      </c>
      <c r="M1" s="5" t="s">
        <v>49</v>
      </c>
    </row>
    <row r="2" ht="60.0" customHeight="1">
      <c r="A2" s="6" t="str">
        <f>IMAGE("https://res.cloudinary.com/dlbhgbxbf/image/upload/v1767894619/OP12-081_jp.png",4,80,60)</f>
        <v/>
      </c>
      <c r="B2" s="7" t="s">
        <v>15</v>
      </c>
      <c r="C2" s="8">
        <v>6.0</v>
      </c>
      <c r="D2" s="8">
        <v>3.0</v>
      </c>
      <c r="E2" s="8">
        <v>3.0</v>
      </c>
      <c r="F2" s="9">
        <v>0.5</v>
      </c>
      <c r="G2" s="8" t="s">
        <v>50</v>
      </c>
      <c r="H2" s="9" t="s">
        <v>50</v>
      </c>
      <c r="I2" s="8" t="s">
        <v>50</v>
      </c>
      <c r="J2" s="9" t="s">
        <v>50</v>
      </c>
      <c r="M2" s="10"/>
    </row>
    <row r="3" ht="60.0" customHeight="1">
      <c r="A3" s="11" t="str">
        <f>IMAGE("https://res.cloudinary.com/dlbhgbxbf/image/upload/v1767894619/OP10-002_jp.png",4,80,60)</f>
        <v/>
      </c>
      <c r="B3" s="12" t="s">
        <v>28</v>
      </c>
      <c r="C3" s="13">
        <v>4.0</v>
      </c>
      <c r="D3" s="13">
        <v>0.0</v>
      </c>
      <c r="E3" s="13">
        <v>4.0</v>
      </c>
      <c r="F3" s="14">
        <v>0.0</v>
      </c>
      <c r="G3" s="13" t="s">
        <v>50</v>
      </c>
      <c r="H3" s="14" t="s">
        <v>50</v>
      </c>
      <c r="I3" s="13" t="s">
        <v>50</v>
      </c>
      <c r="J3" s="14" t="s">
        <v>50</v>
      </c>
      <c r="L3" s="15" t="s">
        <v>51</v>
      </c>
      <c r="M3" s="16"/>
      <c r="O3" s="17" t="s">
        <v>52</v>
      </c>
      <c r="P3" s="18"/>
    </row>
    <row r="4" ht="60.0" customHeight="1">
      <c r="A4" s="6" t="str">
        <f>IMAGE("https://res.cloudinary.com/dlbhgbxbf/image/upload/v1767894619/OP03-022_jp.png",4,80,60)</f>
        <v/>
      </c>
      <c r="B4" s="7" t="s">
        <v>24</v>
      </c>
      <c r="C4" s="8">
        <v>2.0</v>
      </c>
      <c r="D4" s="8">
        <v>0.0</v>
      </c>
      <c r="E4" s="8">
        <v>2.0</v>
      </c>
      <c r="F4" s="9">
        <v>0.0</v>
      </c>
      <c r="G4" s="8" t="s">
        <v>50</v>
      </c>
      <c r="H4" s="9" t="s">
        <v>50</v>
      </c>
      <c r="I4" s="8" t="s">
        <v>50</v>
      </c>
      <c r="J4" s="9" t="s">
        <v>50</v>
      </c>
      <c r="L4" s="19" t="str">
        <f>IMAGE("https://res.cloudinary.com/dlbhgbxbf/image/upload/v1767894619/OP09-081_jp.png",4,80,60)</f>
        <v/>
      </c>
      <c r="M4" s="20" t="s">
        <v>53</v>
      </c>
      <c r="O4" s="21" t="str">
        <f>IMAGE("https://res.cloudinary.com/dlbhgbxbf/image/upload/v1767894619/ST29-001_jp.png",4,80,60)</f>
        <v/>
      </c>
      <c r="P4" s="22" t="s">
        <v>54</v>
      </c>
    </row>
    <row r="5" ht="60.0" customHeight="1">
      <c r="B5" s="10"/>
      <c r="C5" s="23"/>
      <c r="D5" s="23"/>
      <c r="E5" s="23"/>
      <c r="F5" s="24"/>
      <c r="G5" s="23"/>
      <c r="H5" s="24"/>
      <c r="I5" s="23"/>
      <c r="J5" s="24"/>
      <c r="L5" s="25" t="str">
        <f>IMAGE("https://res.cloudinary.com/dlbhgbxbf/image/upload/v1767894619/OP14-041_jp.png",4,80,60)</f>
        <v/>
      </c>
      <c r="M5" s="26" t="s">
        <v>55</v>
      </c>
      <c r="O5" s="27" t="str">
        <f>IMAGE("https://res.cloudinary.com/dlbhgbxbf/image/upload/v1767894619/OP13-002_jp.png",4,80,60)</f>
        <v/>
      </c>
      <c r="P5" s="28" t="s">
        <v>56</v>
      </c>
    </row>
    <row r="6" ht="60.0" customHeight="1">
      <c r="B6" s="10"/>
      <c r="C6" s="23"/>
      <c r="D6" s="23"/>
      <c r="E6" s="23"/>
      <c r="F6" s="24"/>
      <c r="G6" s="23"/>
      <c r="H6" s="24"/>
      <c r="I6" s="23"/>
      <c r="J6" s="24"/>
      <c r="L6" s="29" t="str">
        <f>IMAGE("https://res.cloudinary.com/dlbhgbxbf/image/upload/v1767894619/ST29-001_jp.png",4,80,60)</f>
        <v/>
      </c>
      <c r="M6" s="30" t="s">
        <v>57</v>
      </c>
      <c r="O6" s="31" t="str">
        <f>IMAGE("https://res.cloudinary.com/dlbhgbxbf/image/upload/v1767894619/OP14-001_jp.png",4,80,60)</f>
        <v/>
      </c>
      <c r="P6" s="32" t="s">
        <v>58</v>
      </c>
    </row>
    <row r="7" ht="60.0" customHeight="1">
      <c r="B7" s="10"/>
      <c r="C7" s="23"/>
      <c r="D7" s="23"/>
      <c r="E7" s="23"/>
      <c r="F7" s="24"/>
      <c r="G7" s="23"/>
      <c r="H7" s="24"/>
      <c r="I7" s="23"/>
      <c r="J7" s="24"/>
      <c r="L7" s="33" t="str">
        <f>IMAGE("https://res.cloudinary.com/dlbhgbxbf/image/upload/v1767894619/OP14-060_jp.png",4,80,60)</f>
        <v/>
      </c>
      <c r="M7" s="34" t="s">
        <v>59</v>
      </c>
      <c r="O7" s="35" t="str">
        <f>IMAGE("https://res.cloudinary.com/dlbhgbxbf/image/upload/v1767894619/OP14-060_jp.png",4,80,60)</f>
        <v/>
      </c>
      <c r="P7" s="36" t="s">
        <v>60</v>
      </c>
    </row>
    <row r="8" ht="60.0" customHeight="1">
      <c r="B8" s="10"/>
      <c r="C8" s="23"/>
      <c r="D8" s="23"/>
      <c r="E8" s="23"/>
      <c r="F8" s="24"/>
      <c r="G8" s="23"/>
      <c r="H8" s="24"/>
      <c r="I8" s="23"/>
      <c r="J8" s="24"/>
    </row>
  </sheetData>
  <mergeCells count="2">
    <mergeCell ref="L3:M3"/>
    <mergeCell ref="O3:P3"/>
  </mergeCells>
  <conditionalFormatting sqref="F2:F4">
    <cfRule type="cellIs" dxfId="0" priority="1" stopIfTrue="1" operator="lessThanOrEqual">
      <formula>0.39</formula>
    </cfRule>
  </conditionalFormatting>
  <conditionalFormatting sqref="F2:F4">
    <cfRule type="cellIs" dxfId="1" priority="2" stopIfTrue="1" operator="between">
      <formula>0.4</formula>
      <formula>0.49</formula>
    </cfRule>
  </conditionalFormatting>
  <conditionalFormatting sqref="F2:F4">
    <cfRule type="cellIs" dxfId="2" priority="3" stopIfTrue="1" operator="between">
      <formula>0.5</formula>
      <formula>0.6</formula>
    </cfRule>
  </conditionalFormatting>
  <conditionalFormatting sqref="F2:F4">
    <cfRule type="cellIs" dxfId="3" priority="4" stopIfTrue="1" operator="greaterThanOrEqual">
      <formula>0.6</formula>
    </cfRule>
  </conditionalFormatting>
  <conditionalFormatting sqref="H2:H4">
    <cfRule type="cellIs" dxfId="0" priority="5" stopIfTrue="1" operator="lessThanOrEqual">
      <formula>0.39</formula>
    </cfRule>
  </conditionalFormatting>
  <conditionalFormatting sqref="H2:H4">
    <cfRule type="cellIs" dxfId="1" priority="6" stopIfTrue="1" operator="between">
      <formula>0.4</formula>
      <formula>0.49</formula>
    </cfRule>
  </conditionalFormatting>
  <conditionalFormatting sqref="H2:H4">
    <cfRule type="cellIs" dxfId="2" priority="7" stopIfTrue="1" operator="between">
      <formula>0.5</formula>
      <formula>0.6</formula>
    </cfRule>
  </conditionalFormatting>
  <conditionalFormatting sqref="H2:H4">
    <cfRule type="cellIs" dxfId="3" priority="8" stopIfTrue="1" operator="greaterThanOrEqual">
      <formula>0.6</formula>
    </cfRule>
  </conditionalFormatting>
  <conditionalFormatting sqref="J2:J4">
    <cfRule type="cellIs" dxfId="0" priority="9" stopIfTrue="1" operator="lessThanOrEqual">
      <formula>0.39</formula>
    </cfRule>
  </conditionalFormatting>
  <conditionalFormatting sqref="J2:J4">
    <cfRule type="cellIs" dxfId="1" priority="10" stopIfTrue="1" operator="between">
      <formula>0.4</formula>
      <formula>0.49</formula>
    </cfRule>
  </conditionalFormatting>
  <conditionalFormatting sqref="J2:J4">
    <cfRule type="cellIs" dxfId="2" priority="11" stopIfTrue="1" operator="between">
      <formula>0.5</formula>
      <formula>0.6</formula>
    </cfRule>
  </conditionalFormatting>
  <conditionalFormatting sqref="J2:J4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42</v>
      </c>
      <c r="B1" s="4" t="s">
        <v>61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62</v>
      </c>
      <c r="H1" s="4" t="s">
        <v>46</v>
      </c>
      <c r="I1" s="4" t="s">
        <v>63</v>
      </c>
      <c r="J1" s="4" t="s">
        <v>46</v>
      </c>
    </row>
    <row r="2" ht="60.0" customHeight="1">
      <c r="A2" s="6" t="str">
        <f>IMAGE("https://res.cloudinary.com/dlbhgbxbf/image/upload/v1767894619/ST29-001_jp.png",4,80,60)</f>
        <v/>
      </c>
      <c r="B2" s="7" t="s">
        <v>16</v>
      </c>
      <c r="C2" s="37">
        <v>2.0</v>
      </c>
      <c r="D2" s="37">
        <v>0.0</v>
      </c>
      <c r="E2" s="37">
        <v>2.0</v>
      </c>
      <c r="F2" s="9">
        <v>0.0</v>
      </c>
      <c r="G2" s="37">
        <v>2.0</v>
      </c>
      <c r="H2" s="9">
        <v>0.0</v>
      </c>
      <c r="I2" s="37">
        <v>0.0</v>
      </c>
      <c r="J2" s="9" t="s">
        <v>50</v>
      </c>
    </row>
    <row r="3" ht="60.0" customHeight="1">
      <c r="A3" s="11" t="str">
        <f>IMAGE("https://res.cloudinary.com/dlbhgbxbf/image/upload/v1767894619/OP09-081_jp.png",4,80,60)</f>
        <v/>
      </c>
      <c r="B3" s="12" t="s">
        <v>40</v>
      </c>
      <c r="C3" s="38">
        <v>2.0</v>
      </c>
      <c r="D3" s="38">
        <v>2.0</v>
      </c>
      <c r="E3" s="38">
        <v>0.0</v>
      </c>
      <c r="F3" s="14">
        <v>1.0</v>
      </c>
      <c r="G3" s="38">
        <v>2.0</v>
      </c>
      <c r="H3" s="14">
        <v>1.0</v>
      </c>
      <c r="I3" s="38">
        <v>0.0</v>
      </c>
      <c r="J3" s="14" t="s">
        <v>50</v>
      </c>
    </row>
    <row r="4" ht="60.0" customHeight="1">
      <c r="A4" s="6" t="str">
        <f>IMAGE("https://res.cloudinary.com/dlbhgbxbf/image/upload/v1767894619/OP14-060_jp.png",4,80,60)</f>
        <v/>
      </c>
      <c r="B4" s="7" t="s">
        <v>20</v>
      </c>
      <c r="C4" s="37">
        <v>1.0</v>
      </c>
      <c r="D4" s="37">
        <v>0.0</v>
      </c>
      <c r="E4" s="37">
        <v>1.0</v>
      </c>
      <c r="F4" s="9">
        <v>0.0</v>
      </c>
      <c r="G4" s="37">
        <v>1.0</v>
      </c>
      <c r="H4" s="9">
        <v>0.0</v>
      </c>
      <c r="I4" s="37">
        <v>0.0</v>
      </c>
      <c r="J4" s="9" t="s">
        <v>50</v>
      </c>
    </row>
    <row r="5" ht="60.0" customHeight="1">
      <c r="A5" s="11" t="str">
        <f>IMAGE("https://res.cloudinary.com/dlbhgbxbf/image/upload/v1767894619/OP14-041_jp.png",4,80,60)</f>
        <v/>
      </c>
      <c r="B5" s="12" t="s">
        <v>37</v>
      </c>
      <c r="C5" s="38">
        <v>1.0</v>
      </c>
      <c r="D5" s="38">
        <v>1.0</v>
      </c>
      <c r="E5" s="38">
        <v>0.0</v>
      </c>
      <c r="F5" s="14">
        <v>1.0</v>
      </c>
      <c r="G5" s="38">
        <v>1.0</v>
      </c>
      <c r="H5" s="14">
        <v>1.0</v>
      </c>
      <c r="I5" s="38">
        <v>0.0</v>
      </c>
      <c r="J5" s="14" t="s">
        <v>50</v>
      </c>
    </row>
  </sheetData>
  <conditionalFormatting sqref="F2:F5">
    <cfRule type="cellIs" dxfId="4" priority="1" stopIfTrue="1" operator="equal">
      <formula>"-"</formula>
    </cfRule>
  </conditionalFormatting>
  <conditionalFormatting sqref="F2:F5">
    <cfRule type="cellIs" dxfId="0" priority="2" stopIfTrue="1" operator="lessThanOrEqual">
      <formula>0.39</formula>
    </cfRule>
  </conditionalFormatting>
  <conditionalFormatting sqref="F2:F5">
    <cfRule type="cellIs" dxfId="1" priority="3" stopIfTrue="1" operator="between">
      <formula>0.4</formula>
      <formula>0.49</formula>
    </cfRule>
  </conditionalFormatting>
  <conditionalFormatting sqref="F2:F5">
    <cfRule type="cellIs" dxfId="2" priority="4" stopIfTrue="1" operator="between">
      <formula>0.5</formula>
      <formula>0.6</formula>
    </cfRule>
  </conditionalFormatting>
  <conditionalFormatting sqref="F2:F5">
    <cfRule type="cellIs" dxfId="3" priority="5" stopIfTrue="1" operator="greaterThanOrEqual">
      <formula>0.6</formula>
    </cfRule>
  </conditionalFormatting>
  <conditionalFormatting sqref="H2:H5">
    <cfRule type="cellIs" dxfId="4" priority="6" stopIfTrue="1" operator="equal">
      <formula>"-"</formula>
    </cfRule>
  </conditionalFormatting>
  <conditionalFormatting sqref="H2:H5">
    <cfRule type="cellIs" dxfId="0" priority="7" stopIfTrue="1" operator="lessThanOrEqual">
      <formula>0.39</formula>
    </cfRule>
  </conditionalFormatting>
  <conditionalFormatting sqref="H2:H5">
    <cfRule type="cellIs" dxfId="1" priority="8" stopIfTrue="1" operator="between">
      <formula>0.4</formula>
      <formula>0.49</formula>
    </cfRule>
  </conditionalFormatting>
  <conditionalFormatting sqref="H2:H5">
    <cfRule type="cellIs" dxfId="2" priority="9" stopIfTrue="1" operator="between">
      <formula>0.5</formula>
      <formula>0.6</formula>
    </cfRule>
  </conditionalFormatting>
  <conditionalFormatting sqref="H2:H5">
    <cfRule type="cellIs" dxfId="3" priority="10" stopIfTrue="1" operator="greaterThanOrEqual">
      <formula>0.6</formula>
    </cfRule>
  </conditionalFormatting>
  <conditionalFormatting sqref="J2:J5">
    <cfRule type="cellIs" dxfId="4" priority="11" stopIfTrue="1" operator="equal">
      <formula>"-"</formula>
    </cfRule>
  </conditionalFormatting>
  <conditionalFormatting sqref="J2:J5">
    <cfRule type="cellIs" dxfId="0" priority="12" stopIfTrue="1" operator="lessThanOrEqual">
      <formula>0.39</formula>
    </cfRule>
  </conditionalFormatting>
  <conditionalFormatting sqref="J2:J5">
    <cfRule type="cellIs" dxfId="1" priority="13" stopIfTrue="1" operator="between">
      <formula>0.4</formula>
      <formula>0.49</formula>
    </cfRule>
  </conditionalFormatting>
  <conditionalFormatting sqref="J2:J5">
    <cfRule type="cellIs" dxfId="2" priority="14" stopIfTrue="1" operator="between">
      <formula>0.5</formula>
      <formula>0.6</formula>
    </cfRule>
  </conditionalFormatting>
  <conditionalFormatting sqref="J2:J5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42</v>
      </c>
      <c r="B1" s="4" t="s">
        <v>61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62</v>
      </c>
      <c r="H1" s="4" t="s">
        <v>46</v>
      </c>
      <c r="I1" s="4" t="s">
        <v>63</v>
      </c>
      <c r="J1" s="4" t="s">
        <v>46</v>
      </c>
    </row>
    <row r="2" ht="60.0" customHeight="1">
      <c r="A2" s="6" t="str">
        <f>IMAGE("https://res.cloudinary.com/dlbhgbxbf/image/upload/v1767894619/ST29-001_jp.png",4,80,60)</f>
        <v/>
      </c>
      <c r="B2" s="7" t="s">
        <v>16</v>
      </c>
      <c r="C2" s="37">
        <v>2.0</v>
      </c>
      <c r="D2" s="37">
        <v>0.0</v>
      </c>
      <c r="E2" s="37">
        <v>2.0</v>
      </c>
      <c r="F2" s="9">
        <v>0.0</v>
      </c>
      <c r="G2" s="37">
        <v>0.0</v>
      </c>
      <c r="H2" s="9" t="s">
        <v>50</v>
      </c>
      <c r="I2" s="37">
        <v>2.0</v>
      </c>
      <c r="J2" s="9">
        <v>0.0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42</v>
      </c>
      <c r="B1" s="4" t="s">
        <v>61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62</v>
      </c>
      <c r="H1" s="4" t="s">
        <v>46</v>
      </c>
      <c r="I1" s="4" t="s">
        <v>63</v>
      </c>
      <c r="J1" s="4" t="s">
        <v>46</v>
      </c>
    </row>
    <row r="2" ht="60.0" customHeight="1">
      <c r="A2" s="6" t="str">
        <f>IMAGE("https://res.cloudinary.com/dlbhgbxbf/image/upload/v1767894619/OP13-002_jp.png",4,80,60)</f>
        <v/>
      </c>
      <c r="B2" s="7" t="s">
        <v>29</v>
      </c>
      <c r="C2" s="37">
        <v>2.0</v>
      </c>
      <c r="D2" s="37">
        <v>0.0</v>
      </c>
      <c r="E2" s="37">
        <v>2.0</v>
      </c>
      <c r="F2" s="9">
        <v>0.0</v>
      </c>
      <c r="G2" s="37">
        <v>0.0</v>
      </c>
      <c r="H2" s="9" t="s">
        <v>50</v>
      </c>
      <c r="I2" s="37">
        <v>2.0</v>
      </c>
      <c r="J2" s="9">
        <v>0.0</v>
      </c>
    </row>
    <row r="3" ht="60.0" customHeight="1">
      <c r="A3" s="11" t="str">
        <f>IMAGE("https://res.cloudinary.com/dlbhgbxbf/image/upload/v1767894619/OP14-001_jp.png",4,80,60)</f>
        <v/>
      </c>
      <c r="B3" s="12" t="s">
        <v>33</v>
      </c>
      <c r="C3" s="38">
        <v>2.0</v>
      </c>
      <c r="D3" s="38">
        <v>0.0</v>
      </c>
      <c r="E3" s="38">
        <v>2.0</v>
      </c>
      <c r="F3" s="14">
        <v>0.0</v>
      </c>
      <c r="G3" s="38">
        <v>2.0</v>
      </c>
      <c r="H3" s="14">
        <v>0.0</v>
      </c>
      <c r="I3" s="38">
        <v>0.0</v>
      </c>
      <c r="J3" s="14" t="s">
        <v>50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